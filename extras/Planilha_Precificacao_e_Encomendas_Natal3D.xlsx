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mo usar" sheetId="1" state="visible" r:id="rId3"/>
    <sheet name="Resumo" sheetId="2" state="visible" r:id="rId4"/>
    <sheet name="Calculadora" sheetId="3" state="visible" r:id="rId5"/>
    <sheet name="Encomendas" sheetId="4" state="visible" r:id="rId6"/>
    <sheet name="Estoque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<sst xmlns="http://schemas.openxmlformats.org/spreadsheetml/2006/main" count="80" uniqueCount="75">
  <si>
    <t xml:space="preserve">Planilha de Precificação e Encomendas · Natal 3D</t>
  </si>
  <si>
    <t xml:space="preserve">Funciona no Excel e no Google Planilhas (Arquivo → Importar).</t>
  </si>
  <si>
    <t xml:space="preserve">COMO USAR</t>
  </si>
  <si>
    <t xml:space="preserve">1. Aba Calculadora: preencha as células AMARELAS da configuração (preço do rolo, custo da hora etc.) uma vez só.</t>
  </si>
  <si>
    <t xml:space="preserve">2. Em cada linha da Calculadora, coloque o nome da peça, o peso em gramas e o tempo de impressão que o fatiador mostrar. O custo e o preço sugerido aparecem sozinhos.</t>
  </si>
  <si>
    <t xml:space="preserve">3. Aba Encomendas: uma linha por pedido. Escreva a peça com o MESMO nome da Calculadora para o lucro ser calculado automaticamente.</t>
  </si>
  <si>
    <t xml:space="preserve">4. Marque "Sim" em Pago e Entregue conforme o pedido avança. As linhas não pagas ficam em vermelho.</t>
  </si>
  <si>
    <t xml:space="preserve">5. Aba Estoque: anote a meta de peças prontas e quantas já fez e vendeu.</t>
  </si>
  <si>
    <t xml:space="preserve">6. Aba Resumo: faturamento, quanto já recebeu, quanto falta receber e o lucro estimado, tudo automático.</t>
  </si>
  <si>
    <t xml:space="preserve">LEGENDA</t>
  </si>
  <si>
    <t xml:space="preserve">Células amarelas = você preenche.   Células brancas = fórmulas (não precisa mexer).</t>
  </si>
  <si>
    <t xml:space="preserve">As primeiras linhas trazem exemplos. Pode apagar e escrever os seus.</t>
  </si>
  <si>
    <t xml:space="preserve">Valores de custo da hora (R$ 0,50) e reserva para falhas (10%) são médias sugeridas para impressoras domésticas. Ajuste para a sua realidade.</t>
  </si>
  <si>
    <t xml:space="preserve">Resumo das vendas</t>
  </si>
  <si>
    <t xml:space="preserve">Tudo automático, a partir da aba Encomendas.</t>
  </si>
  <si>
    <t xml:space="preserve">Pedidos registrados</t>
  </si>
  <si>
    <t xml:space="preserve">Peças vendidas</t>
  </si>
  <si>
    <t xml:space="preserve">Faturamento total</t>
  </si>
  <si>
    <t xml:space="preserve">Já recebido</t>
  </si>
  <si>
    <t xml:space="preserve">Falta receber</t>
  </si>
  <si>
    <t xml:space="preserve">Lucro estimado</t>
  </si>
  <si>
    <t xml:space="preserve">Ticket médio por pedido</t>
  </si>
  <si>
    <t xml:space="preserve">Pedidos ainda não entregues</t>
  </si>
  <si>
    <t xml:space="preserve">Peças em estoque (pronta entrega)</t>
  </si>
  <si>
    <t xml:space="preserve">Calculadora de custo e preço</t>
  </si>
  <si>
    <t xml:space="preserve">Preencha a configuração (amarelo) e depois cada peça.</t>
  </si>
  <si>
    <t xml:space="preserve">Preço do rolo de 1 kg (R$)</t>
  </si>
  <si>
    <t xml:space="preserve">Custo da hora de impressora (R$/h)</t>
  </si>
  <si>
    <t xml:space="preserve">Reserva para falhas (%)</t>
  </si>
  <si>
    <t xml:space="preserve">Lucro desejado (%)</t>
  </si>
  <si>
    <t xml:space="preserve">Taxa da plataforma (%) · Shopee ≈ 20%, venda direta = 0</t>
  </si>
  <si>
    <t xml:space="preserve">Peça</t>
  </si>
  <si>
    <t xml:space="preserve">Peso (g)</t>
  </si>
  <si>
    <t xml:space="preserve">Tempo de impressão (h)</t>
  </si>
  <si>
    <t xml:space="preserve">Embalagem (R$)</t>
  </si>
  <si>
    <t xml:space="preserve">Filamento (R$)</t>
  </si>
  <si>
    <t xml:space="preserve">Máquina e energia (R$)</t>
  </si>
  <si>
    <t xml:space="preserve">Reserva falhas (R$)</t>
  </si>
  <si>
    <t xml:space="preserve">Custo total (R$)</t>
  </si>
  <si>
    <t xml:space="preserve">Preço sugerido (R$)</t>
  </si>
  <si>
    <t xml:space="preserve">Lucro por peça (R$)</t>
  </si>
  <si>
    <t xml:space="preserve">Enfeite com nome</t>
  </si>
  <si>
    <t xml:space="preserve">Árvore espiral 15 cm</t>
  </si>
  <si>
    <t xml:space="preserve">Rena de tricô</t>
  </si>
  <si>
    <t xml:space="preserve">Cortador de biscoito (kit 6)</t>
  </si>
  <si>
    <t xml:space="preserve">Preço sugerido = custo total × (1 + lucro desejado), dividido por (1 − taxa da plataforma). Arredonde para um preço "bonito" (ex.: R$ 9,90).</t>
  </si>
  <si>
    <t xml:space="preserve">Controle de encomendas</t>
  </si>
  <si>
    <t xml:space="preserve">Uma linha por pedido. Escreva a peça igual ao nome da Calculadora.</t>
  </si>
  <si>
    <t xml:space="preserve">Data</t>
  </si>
  <si>
    <t xml:space="preserve">Cliente</t>
  </si>
  <si>
    <t xml:space="preserve">WhatsApp</t>
  </si>
  <si>
    <t xml:space="preserve">Personalização (nome)</t>
  </si>
  <si>
    <t xml:space="preserve">Cor</t>
  </si>
  <si>
    <t xml:space="preserve">Qtd</t>
  </si>
  <si>
    <t xml:space="preserve">Preço unit. (R$)</t>
  </si>
  <si>
    <t xml:space="preserve">Total (R$)</t>
  </si>
  <si>
    <t xml:space="preserve">Entregar até</t>
  </si>
  <si>
    <t xml:space="preserve">Pago?</t>
  </si>
  <si>
    <t xml:space="preserve">Entregue?</t>
  </si>
  <si>
    <t xml:space="preserve">Custo unit. (R$)</t>
  </si>
  <si>
    <t xml:space="preserve">Lucro (R$)</t>
  </si>
  <si>
    <t xml:space="preserve">Maria Souza</t>
  </si>
  <si>
    <t xml:space="preserve">(79) 99999-0000</t>
  </si>
  <si>
    <t xml:space="preserve">Ana, Pedro, Lia</t>
  </si>
  <si>
    <t xml:space="preserve">Branco/vermelho</t>
  </si>
  <si>
    <t xml:space="preserve">Sim</t>
  </si>
  <si>
    <t xml:space="preserve">Não</t>
  </si>
  <si>
    <t xml:space="preserve">Estoque de pronta entrega</t>
  </si>
  <si>
    <t xml:space="preserve">Peças sem nome que você deixa prontas para vender na hora.</t>
  </si>
  <si>
    <t xml:space="preserve">Meta</t>
  </si>
  <si>
    <t xml:space="preserve">Feitas</t>
  </si>
  <si>
    <t xml:space="preserve">Vendidas</t>
  </si>
  <si>
    <t xml:space="preserve">Em estoque</t>
  </si>
  <si>
    <t xml:space="preserve">Falta produzir</t>
  </si>
  <si>
    <t xml:space="preserve">Verde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</si>
</sst>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"/>
    <numFmt numFmtId="166" formatCode="&quot;R$ &quot;#,##0.00;&quot;-R$ &quot;#,##0.00;\-"/>
    <numFmt numFmtId="167" formatCode="0%"/>
    <numFmt numFmtId="168" formatCode="0.0"/>
    <numFmt numFmtId="169" formatCode="dd/mm/yyyy"/>
    <numFmt numFmtId="170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2301F"/>
      <name val="Arial"/>
      <family val="0"/>
      <charset val="1"/>
    </font>
    <font>
      <sz val="10"/>
      <color rgb="FF5D6B61"/>
      <name val="Arial"/>
      <family val="0"/>
      <charset val="1"/>
    </font>
    <font>
      <b val="true"/>
      <sz val="11"/>
      <color rgb="FFD62839"/>
      <name val="Arial"/>
      <family val="0"/>
      <charset val="1"/>
    </font>
    <font>
      <sz val="11"/>
      <color rgb="FF1B2A21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2"/>
      <color rgb="FF12301F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i val="true"/>
      <sz val="9"/>
      <color rgb="FF5D6B6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4CC"/>
        <bgColor rgb="FFF6EFE0"/>
      </patternFill>
    </fill>
    <fill>
      <patternFill patternType="solid">
        <fgColor rgb="FFF6EFE0"/>
        <bgColor rgb="FFFFF4CC"/>
      </patternFill>
    </fill>
    <fill>
      <patternFill patternType="solid">
        <fgColor rgb="FF12301F"/>
        <bgColor rgb="FF1B2A21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E0D6C2"/>
      </left>
      <right style="thin">
        <color rgb="FFE0D6C2"/>
      </right>
      <top style="thin">
        <color rgb="FFE0D6C2"/>
      </top>
      <bottom style="thin">
        <color rgb="FFE0D6C2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FDE2E2"/>
        </patternFill>
      </fill>
    </dxf>
    <dxf>
      <fill>
        <patternFill>
          <bgColor rgb="FFE3F4E8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D62839"/>
      <rgbColor rgb="FFFFF4CC"/>
      <rgbColor rgb="FFE3F4E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F6EFE0"/>
      <rgbColor rgb="FFFDE2E2"/>
      <rgbColor rgb="FF99CCFF"/>
      <rgbColor rgb="FFFF99CC"/>
      <rgbColor rgb="FFCC99FF"/>
      <rgbColor rgb="FFE0D6C2"/>
      <rgbColor rgb="FF3366FF"/>
      <rgbColor rgb="FF33CCCC"/>
      <rgbColor rgb="FF99CC00"/>
      <rgbColor rgb="FFFFCC00"/>
      <rgbColor rgb="FFFF9900"/>
      <rgbColor rgb="FFFF6600"/>
      <rgbColor rgb="FF5D6B61"/>
      <rgbColor rgb="FF969696"/>
      <rgbColor rgb="FF003366"/>
      <rgbColor rgb="FF339966"/>
      <rgbColor rgb="FF12301F"/>
      <rgbColor rgb="FF333300"/>
      <rgbColor rgb="FF993300"/>
      <rgbColor rgb="FF993366"/>
      <rgbColor rgb="FF333399"/>
      <rgbColor rgb="FF1B2A2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0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</row>
    <row r="6" customFormat="false" ht="15" hidden="false" customHeight="false" outlineLevel="0" collapsed="false">
      <c r="A6" s="4" t="s">
        <v>4</v>
      </c>
    </row>
    <row r="7" customFormat="false" ht="15" hidden="false" customHeight="false" outlineLevel="0" collapsed="false">
      <c r="A7" s="4" t="s">
        <v>5</v>
      </c>
    </row>
    <row r="8" customFormat="false" ht="15" hidden="false" customHeight="false" outlineLevel="0" collapsed="false">
      <c r="A8" s="4" t="s">
        <v>6</v>
      </c>
    </row>
    <row r="9" customFormat="false" ht="15" hidden="false" customHeight="false" outlineLevel="0" collapsed="false">
      <c r="A9" s="4" t="s">
        <v>7</v>
      </c>
    </row>
    <row r="10" customFormat="false" ht="15" hidden="false" customHeight="false" outlineLevel="0" collapsed="false">
      <c r="A10" s="4" t="s">
        <v>8</v>
      </c>
    </row>
    <row r="11" customFormat="false" ht="15" hidden="false" customHeight="false" outlineLevel="0" collapsed="false">
      <c r="A11" s="4"/>
    </row>
    <row r="12" customFormat="false" ht="15" hidden="false" customHeight="false" outlineLevel="0" collapsed="false">
      <c r="A12" s="3" t="s">
        <v>9</v>
      </c>
    </row>
    <row r="13" customFormat="false" ht="15" hidden="false" customHeight="false" outlineLevel="0" collapsed="false">
      <c r="A13" s="5" t="s">
        <v>10</v>
      </c>
    </row>
    <row r="14" customFormat="false" ht="15" hidden="false" customHeight="false" outlineLevel="0" collapsed="false">
      <c r="A14" s="4" t="s">
        <v>11</v>
      </c>
    </row>
    <row r="15" customFormat="false" ht="15" hidden="false" customHeight="false" outlineLevel="0" collapsed="false">
      <c r="A15" s="4"/>
    </row>
    <row r="16" customFormat="false" ht="15" hidden="false" customHeight="false" outlineLevel="0" collapsed="false">
      <c r="A16" s="4" t="s"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20"/>
  </cols>
  <sheetData>
    <row r="1" customFormat="false" ht="19.7" hidden="false" customHeight="false" outlineLevel="0" collapsed="false">
      <c r="A1" s="1" t="s">
        <v>13</v>
      </c>
    </row>
    <row r="2" customFormat="false" ht="15" hidden="false" customHeight="false" outlineLevel="0" collapsed="false">
      <c r="A2" s="2" t="s">
        <v>14</v>
      </c>
    </row>
    <row r="4" customFormat="false" ht="15" hidden="false" customHeight="false" outlineLevel="0" collapsed="false">
      <c r="A4" s="6" t="s">
        <v>15</v>
      </c>
      <c r="B4" s="7" t="n">
        <f aca="false">COUNTA(Encomendas!B5:B304)</f>
        <v>1</v>
      </c>
    </row>
    <row r="5" customFormat="false" ht="15" hidden="false" customHeight="false" outlineLevel="0" collapsed="false">
      <c r="A5" s="8" t="s">
        <v>16</v>
      </c>
      <c r="B5" s="9" t="n">
        <f aca="false">SUM(Encomendas!G5:G304)</f>
        <v>3</v>
      </c>
    </row>
    <row r="6" customFormat="false" ht="15" hidden="false" customHeight="false" outlineLevel="0" collapsed="false">
      <c r="A6" s="6" t="s">
        <v>17</v>
      </c>
      <c r="B6" s="10" t="n">
        <f aca="false">SUM(Encomendas!I5:I304)</f>
        <v>36</v>
      </c>
    </row>
    <row r="7" customFormat="false" ht="15" hidden="false" customHeight="false" outlineLevel="0" collapsed="false">
      <c r="A7" s="8" t="s">
        <v>18</v>
      </c>
      <c r="B7" s="11" t="n">
        <f aca="false">SUMIFS(Encomendas!I5:I304,Encomendas!K5:K304,"Sim")</f>
        <v>36</v>
      </c>
    </row>
    <row r="8" customFormat="false" ht="15" hidden="false" customHeight="false" outlineLevel="0" collapsed="false">
      <c r="A8" s="6" t="s">
        <v>19</v>
      </c>
      <c r="B8" s="10" t="n">
        <f aca="false">B6-B7</f>
        <v>0</v>
      </c>
    </row>
    <row r="9" customFormat="false" ht="15" hidden="false" customHeight="false" outlineLevel="0" collapsed="false">
      <c r="A9" s="8" t="s">
        <v>20</v>
      </c>
      <c r="B9" s="11" t="n">
        <f aca="false">SUM(Encomendas!N5:N304)</f>
        <v>26.895</v>
      </c>
    </row>
    <row r="10" customFormat="false" ht="15" hidden="false" customHeight="false" outlineLevel="0" collapsed="false">
      <c r="A10" s="6" t="s">
        <v>21</v>
      </c>
      <c r="B10" s="10" t="n">
        <f aca="false">IF(B4=0,0,B6/B4)</f>
        <v>36</v>
      </c>
    </row>
    <row r="11" customFormat="false" ht="15" hidden="false" customHeight="false" outlineLevel="0" collapsed="false">
      <c r="A11" s="8" t="s">
        <v>22</v>
      </c>
      <c r="B11" s="9" t="n">
        <f aca="false">COUNTIFS(Encomendas!B5:B304,"&lt;&gt;",Encomendas!L5:L304,"&lt;&gt;Sim")</f>
        <v>1</v>
      </c>
    </row>
    <row r="12" customFormat="false" ht="15" hidden="false" customHeight="false" outlineLevel="0" collapsed="false">
      <c r="A12" s="6" t="s">
        <v>23</v>
      </c>
      <c r="B12" s="7" t="n">
        <f aca="false">SUM(Estoque!F5:F64)</f>
        <v>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0" topLeftCell="A11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1"/>
    <col collapsed="false" customWidth="true" hidden="false" outlineLevel="0" max="3" min="3" style="0" width="14"/>
    <col collapsed="false" customWidth="true" hidden="false" outlineLevel="0" max="5" min="4" style="0" width="13"/>
    <col collapsed="false" customWidth="true" hidden="false" outlineLevel="0" max="6" min="6" style="0" width="14"/>
    <col collapsed="false" customWidth="true" hidden="false" outlineLevel="0" max="8" min="7" style="0" width="13"/>
    <col collapsed="false" customWidth="true" hidden="false" outlineLevel="0" max="9" min="9" style="0" width="15"/>
    <col collapsed="false" customWidth="true" hidden="false" outlineLevel="0" max="10" min="10" style="0" width="14"/>
  </cols>
  <sheetData>
    <row r="1" customFormat="false" ht="19.7" hidden="false" customHeight="false" outlineLevel="0" collapsed="false">
      <c r="A1" s="1" t="s">
        <v>24</v>
      </c>
    </row>
    <row r="2" customFormat="false" ht="15" hidden="false" customHeight="false" outlineLevel="0" collapsed="false">
      <c r="A2" s="2" t="s">
        <v>25</v>
      </c>
    </row>
    <row r="4" customFormat="false" ht="15" hidden="false" customHeight="false" outlineLevel="0" collapsed="false">
      <c r="A4" s="12" t="s">
        <v>26</v>
      </c>
      <c r="B4" s="13" t="n">
        <v>100</v>
      </c>
    </row>
    <row r="5" customFormat="false" ht="15" hidden="false" customHeight="false" outlineLevel="0" collapsed="false">
      <c r="A5" s="12" t="s">
        <v>27</v>
      </c>
      <c r="B5" s="13" t="n">
        <v>0.5</v>
      </c>
    </row>
    <row r="6" customFormat="false" ht="15" hidden="false" customHeight="false" outlineLevel="0" collapsed="false">
      <c r="A6" s="12" t="s">
        <v>28</v>
      </c>
      <c r="B6" s="14" t="n">
        <v>0.1</v>
      </c>
    </row>
    <row r="7" customFormat="false" ht="15" hidden="false" customHeight="false" outlineLevel="0" collapsed="false">
      <c r="A7" s="12" t="s">
        <v>29</v>
      </c>
      <c r="B7" s="14" t="n">
        <v>2</v>
      </c>
    </row>
    <row r="8" customFormat="false" ht="15" hidden="false" customHeight="false" outlineLevel="0" collapsed="false">
      <c r="A8" s="12" t="s">
        <v>30</v>
      </c>
      <c r="B8" s="14" t="n">
        <v>0</v>
      </c>
    </row>
    <row r="10" customFormat="false" ht="31.5" hidden="false" customHeight="true" outlineLevel="0" collapsed="false">
      <c r="A10" s="15" t="s">
        <v>31</v>
      </c>
      <c r="B10" s="15" t="s">
        <v>32</v>
      </c>
      <c r="C10" s="15" t="s">
        <v>33</v>
      </c>
      <c r="D10" s="15" t="s">
        <v>34</v>
      </c>
      <c r="E10" s="15" t="s">
        <v>35</v>
      </c>
      <c r="F10" s="15" t="s">
        <v>36</v>
      </c>
      <c r="G10" s="15" t="s">
        <v>37</v>
      </c>
      <c r="H10" s="15" t="s">
        <v>38</v>
      </c>
      <c r="I10" s="15" t="s">
        <v>39</v>
      </c>
      <c r="J10" s="15" t="s">
        <v>40</v>
      </c>
    </row>
    <row r="11" customFormat="false" ht="15" hidden="false" customHeight="false" outlineLevel="0" collapsed="false">
      <c r="A11" s="16" t="s">
        <v>41</v>
      </c>
      <c r="B11" s="17" t="n">
        <v>15</v>
      </c>
      <c r="C11" s="18" t="n">
        <v>0.7</v>
      </c>
      <c r="D11" s="13" t="n">
        <v>1</v>
      </c>
      <c r="E11" s="19" t="n">
        <f aca="false">IF(B11="","",B11*$B$4/1000)</f>
        <v>1.5</v>
      </c>
      <c r="F11" s="19" t="n">
        <f aca="false">IF(B11="","",C11*$B$5)</f>
        <v>0.35</v>
      </c>
      <c r="G11" s="19" t="n">
        <f aca="false">IF(B11="","",(E11+F11)*$B$6)</f>
        <v>0.185</v>
      </c>
      <c r="H11" s="19" t="n">
        <f aca="false">IF(B11="","",E11+F11+G11+D11)</f>
        <v>3.035</v>
      </c>
      <c r="I11" s="19" t="n">
        <f aca="false">IF(B11="","",IF($B$8&gt;=1,H11*(1+$B$7),H11*(1+$B$7)/(1-$B$8)))</f>
        <v>9.105</v>
      </c>
      <c r="J11" s="19" t="n">
        <f aca="false">IF(B11="","",I11-H11-I11*$B$8)</f>
        <v>6.07</v>
      </c>
    </row>
    <row r="12" customFormat="false" ht="15" hidden="false" customHeight="false" outlineLevel="0" collapsed="false">
      <c r="A12" s="16" t="s">
        <v>42</v>
      </c>
      <c r="B12" s="17" t="n">
        <v>45</v>
      </c>
      <c r="C12" s="18" t="n">
        <v>2.5</v>
      </c>
      <c r="D12" s="13" t="n">
        <v>1.5</v>
      </c>
      <c r="E12" s="20" t="n">
        <f aca="false">IF(B12="","",B12*$B$4/1000)</f>
        <v>4.5</v>
      </c>
      <c r="F12" s="20" t="n">
        <f aca="false">IF(B12="","",C12*$B$5)</f>
        <v>1.25</v>
      </c>
      <c r="G12" s="20" t="n">
        <f aca="false">IF(B12="","",(E12+F12)*$B$6)</f>
        <v>0.575</v>
      </c>
      <c r="H12" s="20" t="n">
        <f aca="false">IF(B12="","",E12+F12+G12+D12)</f>
        <v>7.825</v>
      </c>
      <c r="I12" s="20" t="n">
        <f aca="false">IF(B12="","",IF($B$8&gt;=1,H12*(1+$B$7),H12*(1+$B$7)/(1-$B$8)))</f>
        <v>23.475</v>
      </c>
      <c r="J12" s="20" t="n">
        <f aca="false">IF(B12="","",I12-H12-I12*$B$8)</f>
        <v>15.65</v>
      </c>
    </row>
    <row r="13" customFormat="false" ht="15" hidden="false" customHeight="false" outlineLevel="0" collapsed="false">
      <c r="A13" s="16" t="s">
        <v>43</v>
      </c>
      <c r="B13" s="17" t="n">
        <v>60</v>
      </c>
      <c r="C13" s="18" t="n">
        <v>3</v>
      </c>
      <c r="D13" s="13" t="n">
        <v>2</v>
      </c>
      <c r="E13" s="19" t="n">
        <f aca="false">IF(B13="","",B13*$B$4/1000)</f>
        <v>6</v>
      </c>
      <c r="F13" s="19" t="n">
        <f aca="false">IF(B13="","",C13*$B$5)</f>
        <v>1.5</v>
      </c>
      <c r="G13" s="19" t="n">
        <f aca="false">IF(B13="","",(E13+F13)*$B$6)</f>
        <v>0.75</v>
      </c>
      <c r="H13" s="19" t="n">
        <f aca="false">IF(B13="","",E13+F13+G13+D13)</f>
        <v>10.25</v>
      </c>
      <c r="I13" s="19" t="n">
        <f aca="false">IF(B13="","",IF($B$8&gt;=1,H13*(1+$B$7),H13*(1+$B$7)/(1-$B$8)))</f>
        <v>30.75</v>
      </c>
      <c r="J13" s="19" t="n">
        <f aca="false">IF(B13="","",I13-H13-I13*$B$8)</f>
        <v>20.5</v>
      </c>
    </row>
    <row r="14" customFormat="false" ht="15" hidden="false" customHeight="false" outlineLevel="0" collapsed="false">
      <c r="A14" s="16" t="s">
        <v>44</v>
      </c>
      <c r="B14" s="17" t="n">
        <v>40</v>
      </c>
      <c r="C14" s="18" t="n">
        <v>1.5</v>
      </c>
      <c r="D14" s="13" t="n">
        <v>1.5</v>
      </c>
      <c r="E14" s="20" t="n">
        <f aca="false">IF(B14="","",B14*$B$4/1000)</f>
        <v>4</v>
      </c>
      <c r="F14" s="20" t="n">
        <f aca="false">IF(B14="","",C14*$B$5)</f>
        <v>0.75</v>
      </c>
      <c r="G14" s="20" t="n">
        <f aca="false">IF(B14="","",(E14+F14)*$B$6)</f>
        <v>0.475</v>
      </c>
      <c r="H14" s="20" t="n">
        <f aca="false">IF(B14="","",E14+F14+G14+D14)</f>
        <v>6.725</v>
      </c>
      <c r="I14" s="20" t="n">
        <f aca="false">IF(B14="","",IF($B$8&gt;=1,H14*(1+$B$7),H14*(1+$B$7)/(1-$B$8)))</f>
        <v>20.175</v>
      </c>
      <c r="J14" s="20" t="n">
        <f aca="false">IF(B14="","",I14-H14-I14*$B$8)</f>
        <v>13.45</v>
      </c>
    </row>
    <row r="15" customFormat="false" ht="15" hidden="false" customHeight="false" outlineLevel="0" collapsed="false">
      <c r="A15" s="16"/>
      <c r="B15" s="17"/>
      <c r="C15" s="18"/>
      <c r="D15" s="13"/>
      <c r="E15" s="19" t="str">
        <f aca="false">IF(B15="","",B15*$B$4/1000)</f>
        <v/>
      </c>
      <c r="F15" s="19" t="str">
        <f aca="false">IF(B15="","",C15*$B$5)</f>
        <v/>
      </c>
      <c r="G15" s="19" t="str">
        <f aca="false">IF(B15="","",(E15+F15)*$B$6)</f>
        <v/>
      </c>
      <c r="H15" s="19" t="str">
        <f aca="false">IF(B15="","",E15+F15+G15+D15)</f>
        <v/>
      </c>
      <c r="I15" s="19" t="str">
        <f aca="false">IF(B15="","",IF($B$8&gt;=1,H15*(1+$B$7),H15*(1+$B$7)/(1-$B$8)))</f>
        <v/>
      </c>
      <c r="J15" s="19" t="str">
        <f aca="false">IF(B15="","",I15-H15-I15*$B$8)</f>
        <v/>
      </c>
    </row>
    <row r="16" customFormat="false" ht="15" hidden="false" customHeight="false" outlineLevel="0" collapsed="false">
      <c r="A16" s="16"/>
      <c r="B16" s="17"/>
      <c r="C16" s="18"/>
      <c r="D16" s="13"/>
      <c r="E16" s="20" t="str">
        <f aca="false">IF(B16="","",B16*$B$4/1000)</f>
        <v/>
      </c>
      <c r="F16" s="20" t="str">
        <f aca="false">IF(B16="","",C16*$B$5)</f>
        <v/>
      </c>
      <c r="G16" s="20" t="str">
        <f aca="false">IF(B16="","",(E16+F16)*$B$6)</f>
        <v/>
      </c>
      <c r="H16" s="20" t="str">
        <f aca="false">IF(B16="","",E16+F16+G16+D16)</f>
        <v/>
      </c>
      <c r="I16" s="20" t="str">
        <f aca="false">IF(B16="","",IF($B$8&gt;=1,H16*(1+$B$7),H16*(1+$B$7)/(1-$B$8)))</f>
        <v/>
      </c>
      <c r="J16" s="20" t="str">
        <f aca="false">IF(B16="","",I16-H16-I16*$B$8)</f>
        <v/>
      </c>
    </row>
    <row r="17" customFormat="false" ht="15" hidden="false" customHeight="false" outlineLevel="0" collapsed="false">
      <c r="A17" s="16"/>
      <c r="B17" s="17"/>
      <c r="C17" s="18"/>
      <c r="D17" s="13"/>
      <c r="E17" s="19" t="str">
        <f aca="false">IF(B17="","",B17*$B$4/1000)</f>
        <v/>
      </c>
      <c r="F17" s="19" t="str">
        <f aca="false">IF(B17="","",C17*$B$5)</f>
        <v/>
      </c>
      <c r="G17" s="19" t="str">
        <f aca="false">IF(B17="","",(E17+F17)*$B$6)</f>
        <v/>
      </c>
      <c r="H17" s="19" t="str">
        <f aca="false">IF(B17="","",E17+F17+G17+D17)</f>
        <v/>
      </c>
      <c r="I17" s="19" t="str">
        <f aca="false">IF(B17="","",IF($B$8&gt;=1,H17*(1+$B$7),H17*(1+$B$7)/(1-$B$8)))</f>
        <v/>
      </c>
      <c r="J17" s="19" t="str">
        <f aca="false">IF(B17="","",I17-H17-I17*$B$8)</f>
        <v/>
      </c>
    </row>
    <row r="18" customFormat="false" ht="15" hidden="false" customHeight="false" outlineLevel="0" collapsed="false">
      <c r="A18" s="16"/>
      <c r="B18" s="17"/>
      <c r="C18" s="18"/>
      <c r="D18" s="13"/>
      <c r="E18" s="20" t="str">
        <f aca="false">IF(B18="","",B18*$B$4/1000)</f>
        <v/>
      </c>
      <c r="F18" s="20" t="str">
        <f aca="false">IF(B18="","",C18*$B$5)</f>
        <v/>
      </c>
      <c r="G18" s="20" t="str">
        <f aca="false">IF(B18="","",(E18+F18)*$B$6)</f>
        <v/>
      </c>
      <c r="H18" s="20" t="str">
        <f aca="false">IF(B18="","",E18+F18+G18+D18)</f>
        <v/>
      </c>
      <c r="I18" s="20" t="str">
        <f aca="false">IF(B18="","",IF($B$8&gt;=1,H18*(1+$B$7),H18*(1+$B$7)/(1-$B$8)))</f>
        <v/>
      </c>
      <c r="J18" s="20" t="str">
        <f aca="false">IF(B18="","",I18-H18-I18*$B$8)</f>
        <v/>
      </c>
    </row>
    <row r="19" customFormat="false" ht="15" hidden="false" customHeight="false" outlineLevel="0" collapsed="false">
      <c r="A19" s="16"/>
      <c r="B19" s="17"/>
      <c r="C19" s="18"/>
      <c r="D19" s="13"/>
      <c r="E19" s="19" t="str">
        <f aca="false">IF(B19="","",B19*$B$4/1000)</f>
        <v/>
      </c>
      <c r="F19" s="19" t="str">
        <f aca="false">IF(B19="","",C19*$B$5)</f>
        <v/>
      </c>
      <c r="G19" s="19" t="str">
        <f aca="false">IF(B19="","",(E19+F19)*$B$6)</f>
        <v/>
      </c>
      <c r="H19" s="19" t="str">
        <f aca="false">IF(B19="","",E19+F19+G19+D19)</f>
        <v/>
      </c>
      <c r="I19" s="19" t="str">
        <f aca="false">IF(B19="","",IF($B$8&gt;=1,H19*(1+$B$7),H19*(1+$B$7)/(1-$B$8)))</f>
        <v/>
      </c>
      <c r="J19" s="19" t="str">
        <f aca="false">IF(B19="","",I19-H19-I19*$B$8)</f>
        <v/>
      </c>
    </row>
    <row r="20" customFormat="false" ht="15" hidden="false" customHeight="false" outlineLevel="0" collapsed="false">
      <c r="A20" s="16"/>
      <c r="B20" s="17"/>
      <c r="C20" s="18"/>
      <c r="D20" s="13"/>
      <c r="E20" s="20" t="str">
        <f aca="false">IF(B20="","",B20*$B$4/1000)</f>
        <v/>
      </c>
      <c r="F20" s="20" t="str">
        <f aca="false">IF(B20="","",C20*$B$5)</f>
        <v/>
      </c>
      <c r="G20" s="20" t="str">
        <f aca="false">IF(B20="","",(E20+F20)*$B$6)</f>
        <v/>
      </c>
      <c r="H20" s="20" t="str">
        <f aca="false">IF(B20="","",E20+F20+G20+D20)</f>
        <v/>
      </c>
      <c r="I20" s="20" t="str">
        <f aca="false">IF(B20="","",IF($B$8&gt;=1,H20*(1+$B$7),H20*(1+$B$7)/(1-$B$8)))</f>
        <v/>
      </c>
      <c r="J20" s="20" t="str">
        <f aca="false">IF(B20="","",I20-H20-I20*$B$8)</f>
        <v/>
      </c>
    </row>
    <row r="21" customFormat="false" ht="15" hidden="false" customHeight="false" outlineLevel="0" collapsed="false">
      <c r="A21" s="16"/>
      <c r="B21" s="17"/>
      <c r="C21" s="18"/>
      <c r="D21" s="13"/>
      <c r="E21" s="19" t="str">
        <f aca="false">IF(B21="","",B21*$B$4/1000)</f>
        <v/>
      </c>
      <c r="F21" s="19" t="str">
        <f aca="false">IF(B21="","",C21*$B$5)</f>
        <v/>
      </c>
      <c r="G21" s="19" t="str">
        <f aca="false">IF(B21="","",(E21+F21)*$B$6)</f>
        <v/>
      </c>
      <c r="H21" s="19" t="str">
        <f aca="false">IF(B21="","",E21+F21+G21+D21)</f>
        <v/>
      </c>
      <c r="I21" s="19" t="str">
        <f aca="false">IF(B21="","",IF($B$8&gt;=1,H21*(1+$B$7),H21*(1+$B$7)/(1-$B$8)))</f>
        <v/>
      </c>
      <c r="J21" s="19" t="str">
        <f aca="false">IF(B21="","",I21-H21-I21*$B$8)</f>
        <v/>
      </c>
    </row>
    <row r="22" customFormat="false" ht="15" hidden="false" customHeight="false" outlineLevel="0" collapsed="false">
      <c r="A22" s="16"/>
      <c r="B22" s="17"/>
      <c r="C22" s="18"/>
      <c r="D22" s="13"/>
      <c r="E22" s="20" t="str">
        <f aca="false">IF(B22="","",B22*$B$4/1000)</f>
        <v/>
      </c>
      <c r="F22" s="20" t="str">
        <f aca="false">IF(B22="","",C22*$B$5)</f>
        <v/>
      </c>
      <c r="G22" s="20" t="str">
        <f aca="false">IF(B22="","",(E22+F22)*$B$6)</f>
        <v/>
      </c>
      <c r="H22" s="20" t="str">
        <f aca="false">IF(B22="","",E22+F22+G22+D22)</f>
        <v/>
      </c>
      <c r="I22" s="20" t="str">
        <f aca="false">IF(B22="","",IF($B$8&gt;=1,H22*(1+$B$7),H22*(1+$B$7)/(1-$B$8)))</f>
        <v/>
      </c>
      <c r="J22" s="20" t="str">
        <f aca="false">IF(B22="","",I22-H22-I22*$B$8)</f>
        <v/>
      </c>
    </row>
    <row r="23" customFormat="false" ht="15" hidden="false" customHeight="false" outlineLevel="0" collapsed="false">
      <c r="A23" s="16"/>
      <c r="B23" s="17"/>
      <c r="C23" s="18"/>
      <c r="D23" s="13"/>
      <c r="E23" s="19" t="str">
        <f aca="false">IF(B23="","",B23*$B$4/1000)</f>
        <v/>
      </c>
      <c r="F23" s="19" t="str">
        <f aca="false">IF(B23="","",C23*$B$5)</f>
        <v/>
      </c>
      <c r="G23" s="19" t="str">
        <f aca="false">IF(B23="","",(E23+F23)*$B$6)</f>
        <v/>
      </c>
      <c r="H23" s="19" t="str">
        <f aca="false">IF(B23="","",E23+F23+G23+D23)</f>
        <v/>
      </c>
      <c r="I23" s="19" t="str">
        <f aca="false">IF(B23="","",IF($B$8&gt;=1,H23*(1+$B$7),H23*(1+$B$7)/(1-$B$8)))</f>
        <v/>
      </c>
      <c r="J23" s="19" t="str">
        <f aca="false">IF(B23="","",I23-H23-I23*$B$8)</f>
        <v/>
      </c>
    </row>
    <row r="24" customFormat="false" ht="15" hidden="false" customHeight="false" outlineLevel="0" collapsed="false">
      <c r="A24" s="16"/>
      <c r="B24" s="17"/>
      <c r="C24" s="18"/>
      <c r="D24" s="13"/>
      <c r="E24" s="20" t="str">
        <f aca="false">IF(B24="","",B24*$B$4/1000)</f>
        <v/>
      </c>
      <c r="F24" s="20" t="str">
        <f aca="false">IF(B24="","",C24*$B$5)</f>
        <v/>
      </c>
      <c r="G24" s="20" t="str">
        <f aca="false">IF(B24="","",(E24+F24)*$B$6)</f>
        <v/>
      </c>
      <c r="H24" s="20" t="str">
        <f aca="false">IF(B24="","",E24+F24+G24+D24)</f>
        <v/>
      </c>
      <c r="I24" s="20" t="str">
        <f aca="false">IF(B24="","",IF($B$8&gt;=1,H24*(1+$B$7),H24*(1+$B$7)/(1-$B$8)))</f>
        <v/>
      </c>
      <c r="J24" s="20" t="str">
        <f aca="false">IF(B24="","",I24-H24-I24*$B$8)</f>
        <v/>
      </c>
    </row>
    <row r="25" customFormat="false" ht="15" hidden="false" customHeight="false" outlineLevel="0" collapsed="false">
      <c r="A25" s="16"/>
      <c r="B25" s="17"/>
      <c r="C25" s="18"/>
      <c r="D25" s="13"/>
      <c r="E25" s="19" t="str">
        <f aca="false">IF(B25="","",B25*$B$4/1000)</f>
        <v/>
      </c>
      <c r="F25" s="19" t="str">
        <f aca="false">IF(B25="","",C25*$B$5)</f>
        <v/>
      </c>
      <c r="G25" s="19" t="str">
        <f aca="false">IF(B25="","",(E25+F25)*$B$6)</f>
        <v/>
      </c>
      <c r="H25" s="19" t="str">
        <f aca="false">IF(B25="","",E25+F25+G25+D25)</f>
        <v/>
      </c>
      <c r="I25" s="19" t="str">
        <f aca="false">IF(B25="","",IF($B$8&gt;=1,H25*(1+$B$7),H25*(1+$B$7)/(1-$B$8)))</f>
        <v/>
      </c>
      <c r="J25" s="19" t="str">
        <f aca="false">IF(B25="","",I25-H25-I25*$B$8)</f>
        <v/>
      </c>
    </row>
    <row r="26" customFormat="false" ht="15" hidden="false" customHeight="false" outlineLevel="0" collapsed="false">
      <c r="A26" s="16"/>
      <c r="B26" s="17"/>
      <c r="C26" s="18"/>
      <c r="D26" s="13"/>
      <c r="E26" s="20" t="str">
        <f aca="false">IF(B26="","",B26*$B$4/1000)</f>
        <v/>
      </c>
      <c r="F26" s="20" t="str">
        <f aca="false">IF(B26="","",C26*$B$5)</f>
        <v/>
      </c>
      <c r="G26" s="20" t="str">
        <f aca="false">IF(B26="","",(E26+F26)*$B$6)</f>
        <v/>
      </c>
      <c r="H26" s="20" t="str">
        <f aca="false">IF(B26="","",E26+F26+G26+D26)</f>
        <v/>
      </c>
      <c r="I26" s="20" t="str">
        <f aca="false">IF(B26="","",IF($B$8&gt;=1,H26*(1+$B$7),H26*(1+$B$7)/(1-$B$8)))</f>
        <v/>
      </c>
      <c r="J26" s="20" t="str">
        <f aca="false">IF(B26="","",I26-H26-I26*$B$8)</f>
        <v/>
      </c>
    </row>
    <row r="27" customFormat="false" ht="15" hidden="false" customHeight="false" outlineLevel="0" collapsed="false">
      <c r="A27" s="16"/>
      <c r="B27" s="17"/>
      <c r="C27" s="18"/>
      <c r="D27" s="13"/>
      <c r="E27" s="19" t="str">
        <f aca="false">IF(B27="","",B27*$B$4/1000)</f>
        <v/>
      </c>
      <c r="F27" s="19" t="str">
        <f aca="false">IF(B27="","",C27*$B$5)</f>
        <v/>
      </c>
      <c r="G27" s="19" t="str">
        <f aca="false">IF(B27="","",(E27+F27)*$B$6)</f>
        <v/>
      </c>
      <c r="H27" s="19" t="str">
        <f aca="false">IF(B27="","",E27+F27+G27+D27)</f>
        <v/>
      </c>
      <c r="I27" s="19" t="str">
        <f aca="false">IF(B27="","",IF($B$8&gt;=1,H27*(1+$B$7),H27*(1+$B$7)/(1-$B$8)))</f>
        <v/>
      </c>
      <c r="J27" s="19" t="str">
        <f aca="false">IF(B27="","",I27-H27-I27*$B$8)</f>
        <v/>
      </c>
    </row>
    <row r="28" customFormat="false" ht="15" hidden="false" customHeight="false" outlineLevel="0" collapsed="false">
      <c r="A28" s="16"/>
      <c r="B28" s="17"/>
      <c r="C28" s="18"/>
      <c r="D28" s="13"/>
      <c r="E28" s="20" t="str">
        <f aca="false">IF(B28="","",B28*$B$4/1000)</f>
        <v/>
      </c>
      <c r="F28" s="20" t="str">
        <f aca="false">IF(B28="","",C28*$B$5)</f>
        <v/>
      </c>
      <c r="G28" s="20" t="str">
        <f aca="false">IF(B28="","",(E28+F28)*$B$6)</f>
        <v/>
      </c>
      <c r="H28" s="20" t="str">
        <f aca="false">IF(B28="","",E28+F28+G28+D28)</f>
        <v/>
      </c>
      <c r="I28" s="20" t="str">
        <f aca="false">IF(B28="","",IF($B$8&gt;=1,H28*(1+$B$7),H28*(1+$B$7)/(1-$B$8)))</f>
        <v/>
      </c>
      <c r="J28" s="20" t="str">
        <f aca="false">IF(B28="","",I28-H28-I28*$B$8)</f>
        <v/>
      </c>
    </row>
    <row r="29" customFormat="false" ht="15" hidden="false" customHeight="false" outlineLevel="0" collapsed="false">
      <c r="A29" s="16"/>
      <c r="B29" s="17"/>
      <c r="C29" s="18"/>
      <c r="D29" s="13"/>
      <c r="E29" s="19" t="str">
        <f aca="false">IF(B29="","",B29*$B$4/1000)</f>
        <v/>
      </c>
      <c r="F29" s="19" t="str">
        <f aca="false">IF(B29="","",C29*$B$5)</f>
        <v/>
      </c>
      <c r="G29" s="19" t="str">
        <f aca="false">IF(B29="","",(E29+F29)*$B$6)</f>
        <v/>
      </c>
      <c r="H29" s="19" t="str">
        <f aca="false">IF(B29="","",E29+F29+G29+D29)</f>
        <v/>
      </c>
      <c r="I29" s="19" t="str">
        <f aca="false">IF(B29="","",IF($B$8&gt;=1,H29*(1+$B$7),H29*(1+$B$7)/(1-$B$8)))</f>
        <v/>
      </c>
      <c r="J29" s="19" t="str">
        <f aca="false">IF(B29="","",I29-H29-I29*$B$8)</f>
        <v/>
      </c>
    </row>
    <row r="30" customFormat="false" ht="15" hidden="false" customHeight="false" outlineLevel="0" collapsed="false">
      <c r="A30" s="16"/>
      <c r="B30" s="17"/>
      <c r="C30" s="18"/>
      <c r="D30" s="13"/>
      <c r="E30" s="20" t="str">
        <f aca="false">IF(B30="","",B30*$B$4/1000)</f>
        <v/>
      </c>
      <c r="F30" s="20" t="str">
        <f aca="false">IF(B30="","",C30*$B$5)</f>
        <v/>
      </c>
      <c r="G30" s="20" t="str">
        <f aca="false">IF(B30="","",(E30+F30)*$B$6)</f>
        <v/>
      </c>
      <c r="H30" s="20" t="str">
        <f aca="false">IF(B30="","",E30+F30+G30+D30)</f>
        <v/>
      </c>
      <c r="I30" s="20" t="str">
        <f aca="false">IF(B30="","",IF($B$8&gt;=1,H30*(1+$B$7),H30*(1+$B$7)/(1-$B$8)))</f>
        <v/>
      </c>
      <c r="J30" s="20" t="str">
        <f aca="false">IF(B30="","",I30-H30-I30*$B$8)</f>
        <v/>
      </c>
    </row>
    <row r="31" customFormat="false" ht="15" hidden="false" customHeight="false" outlineLevel="0" collapsed="false">
      <c r="A31" s="16"/>
      <c r="B31" s="17"/>
      <c r="C31" s="18"/>
      <c r="D31" s="13"/>
      <c r="E31" s="19" t="str">
        <f aca="false">IF(B31="","",B31*$B$4/1000)</f>
        <v/>
      </c>
      <c r="F31" s="19" t="str">
        <f aca="false">IF(B31="","",C31*$B$5)</f>
        <v/>
      </c>
      <c r="G31" s="19" t="str">
        <f aca="false">IF(B31="","",(E31+F31)*$B$6)</f>
        <v/>
      </c>
      <c r="H31" s="19" t="str">
        <f aca="false">IF(B31="","",E31+F31+G31+D31)</f>
        <v/>
      </c>
      <c r="I31" s="19" t="str">
        <f aca="false">IF(B31="","",IF($B$8&gt;=1,H31*(1+$B$7),H31*(1+$B$7)/(1-$B$8)))</f>
        <v/>
      </c>
      <c r="J31" s="19" t="str">
        <f aca="false">IF(B31="","",I31-H31-I31*$B$8)</f>
        <v/>
      </c>
    </row>
    <row r="32" customFormat="false" ht="15" hidden="false" customHeight="false" outlineLevel="0" collapsed="false">
      <c r="A32" s="16"/>
      <c r="B32" s="17"/>
      <c r="C32" s="18"/>
      <c r="D32" s="13"/>
      <c r="E32" s="20" t="str">
        <f aca="false">IF(B32="","",B32*$B$4/1000)</f>
        <v/>
      </c>
      <c r="F32" s="20" t="str">
        <f aca="false">IF(B32="","",C32*$B$5)</f>
        <v/>
      </c>
      <c r="G32" s="20" t="str">
        <f aca="false">IF(B32="","",(E32+F32)*$B$6)</f>
        <v/>
      </c>
      <c r="H32" s="20" t="str">
        <f aca="false">IF(B32="","",E32+F32+G32+D32)</f>
        <v/>
      </c>
      <c r="I32" s="20" t="str">
        <f aca="false">IF(B32="","",IF($B$8&gt;=1,H32*(1+$B$7),H32*(1+$B$7)/(1-$B$8)))</f>
        <v/>
      </c>
      <c r="J32" s="20" t="str">
        <f aca="false">IF(B32="","",I32-H32-I32*$B$8)</f>
        <v/>
      </c>
    </row>
    <row r="33" customFormat="false" ht="15" hidden="false" customHeight="false" outlineLevel="0" collapsed="false">
      <c r="A33" s="16"/>
      <c r="B33" s="17"/>
      <c r="C33" s="18"/>
      <c r="D33" s="13"/>
      <c r="E33" s="19" t="str">
        <f aca="false">IF(B33="","",B33*$B$4/1000)</f>
        <v/>
      </c>
      <c r="F33" s="19" t="str">
        <f aca="false">IF(B33="","",C33*$B$5)</f>
        <v/>
      </c>
      <c r="G33" s="19" t="str">
        <f aca="false">IF(B33="","",(E33+F33)*$B$6)</f>
        <v/>
      </c>
      <c r="H33" s="19" t="str">
        <f aca="false">IF(B33="","",E33+F33+G33+D33)</f>
        <v/>
      </c>
      <c r="I33" s="19" t="str">
        <f aca="false">IF(B33="","",IF($B$8&gt;=1,H33*(1+$B$7),H33*(1+$B$7)/(1-$B$8)))</f>
        <v/>
      </c>
      <c r="J33" s="19" t="str">
        <f aca="false">IF(B33="","",I33-H33-I33*$B$8)</f>
        <v/>
      </c>
    </row>
    <row r="34" customFormat="false" ht="15" hidden="false" customHeight="false" outlineLevel="0" collapsed="false">
      <c r="A34" s="16"/>
      <c r="B34" s="17"/>
      <c r="C34" s="18"/>
      <c r="D34" s="13"/>
      <c r="E34" s="20" t="str">
        <f aca="false">IF(B34="","",B34*$B$4/1000)</f>
        <v/>
      </c>
      <c r="F34" s="20" t="str">
        <f aca="false">IF(B34="","",C34*$B$5)</f>
        <v/>
      </c>
      <c r="G34" s="20" t="str">
        <f aca="false">IF(B34="","",(E34+F34)*$B$6)</f>
        <v/>
      </c>
      <c r="H34" s="20" t="str">
        <f aca="false">IF(B34="","",E34+F34+G34+D34)</f>
        <v/>
      </c>
      <c r="I34" s="20" t="str">
        <f aca="false">IF(B34="","",IF($B$8&gt;=1,H34*(1+$B$7),H34*(1+$B$7)/(1-$B$8)))</f>
        <v/>
      </c>
      <c r="J34" s="20" t="str">
        <f aca="false">IF(B34="","",I34-H34-I34*$B$8)</f>
        <v/>
      </c>
    </row>
    <row r="35" customFormat="false" ht="15" hidden="false" customHeight="false" outlineLevel="0" collapsed="false">
      <c r="A35" s="16"/>
      <c r="B35" s="17"/>
      <c r="C35" s="18"/>
      <c r="D35" s="13"/>
      <c r="E35" s="19" t="str">
        <f aca="false">IF(B35="","",B35*$B$4/1000)</f>
        <v/>
      </c>
      <c r="F35" s="19" t="str">
        <f aca="false">IF(B35="","",C35*$B$5)</f>
        <v/>
      </c>
      <c r="G35" s="19" t="str">
        <f aca="false">IF(B35="","",(E35+F35)*$B$6)</f>
        <v/>
      </c>
      <c r="H35" s="19" t="str">
        <f aca="false">IF(B35="","",E35+F35+G35+D35)</f>
        <v/>
      </c>
      <c r="I35" s="19" t="str">
        <f aca="false">IF(B35="","",IF($B$8&gt;=1,H35*(1+$B$7),H35*(1+$B$7)/(1-$B$8)))</f>
        <v/>
      </c>
      <c r="J35" s="19" t="str">
        <f aca="false">IF(B35="","",I35-H35-I35*$B$8)</f>
        <v/>
      </c>
    </row>
    <row r="36" customFormat="false" ht="15" hidden="false" customHeight="false" outlineLevel="0" collapsed="false">
      <c r="A36" s="16"/>
      <c r="B36" s="17"/>
      <c r="C36" s="18"/>
      <c r="D36" s="13"/>
      <c r="E36" s="20" t="str">
        <f aca="false">IF(B36="","",B36*$B$4/1000)</f>
        <v/>
      </c>
      <c r="F36" s="20" t="str">
        <f aca="false">IF(B36="","",C36*$B$5)</f>
        <v/>
      </c>
      <c r="G36" s="20" t="str">
        <f aca="false">IF(B36="","",(E36+F36)*$B$6)</f>
        <v/>
      </c>
      <c r="H36" s="20" t="str">
        <f aca="false">IF(B36="","",E36+F36+G36+D36)</f>
        <v/>
      </c>
      <c r="I36" s="20" t="str">
        <f aca="false">IF(B36="","",IF($B$8&gt;=1,H36*(1+$B$7),H36*(1+$B$7)/(1-$B$8)))</f>
        <v/>
      </c>
      <c r="J36" s="20" t="str">
        <f aca="false">IF(B36="","",I36-H36-I36*$B$8)</f>
        <v/>
      </c>
    </row>
    <row r="37" customFormat="false" ht="15" hidden="false" customHeight="false" outlineLevel="0" collapsed="false">
      <c r="A37" s="16"/>
      <c r="B37" s="17"/>
      <c r="C37" s="18"/>
      <c r="D37" s="13"/>
      <c r="E37" s="19" t="str">
        <f aca="false">IF(B37="","",B37*$B$4/1000)</f>
        <v/>
      </c>
      <c r="F37" s="19" t="str">
        <f aca="false">IF(B37="","",C37*$B$5)</f>
        <v/>
      </c>
      <c r="G37" s="19" t="str">
        <f aca="false">IF(B37="","",(E37+F37)*$B$6)</f>
        <v/>
      </c>
      <c r="H37" s="19" t="str">
        <f aca="false">IF(B37="","",E37+F37+G37+D37)</f>
        <v/>
      </c>
      <c r="I37" s="19" t="str">
        <f aca="false">IF(B37="","",IF($B$8&gt;=1,H37*(1+$B$7),H37*(1+$B$7)/(1-$B$8)))</f>
        <v/>
      </c>
      <c r="J37" s="19" t="str">
        <f aca="false">IF(B37="","",I37-H37-I37*$B$8)</f>
        <v/>
      </c>
    </row>
    <row r="38" customFormat="false" ht="15" hidden="false" customHeight="false" outlineLevel="0" collapsed="false">
      <c r="A38" s="16"/>
      <c r="B38" s="17"/>
      <c r="C38" s="18"/>
      <c r="D38" s="13"/>
      <c r="E38" s="20" t="str">
        <f aca="false">IF(B38="","",B38*$B$4/1000)</f>
        <v/>
      </c>
      <c r="F38" s="20" t="str">
        <f aca="false">IF(B38="","",C38*$B$5)</f>
        <v/>
      </c>
      <c r="G38" s="20" t="str">
        <f aca="false">IF(B38="","",(E38+F38)*$B$6)</f>
        <v/>
      </c>
      <c r="H38" s="20" t="str">
        <f aca="false">IF(B38="","",E38+F38+G38+D38)</f>
        <v/>
      </c>
      <c r="I38" s="20" t="str">
        <f aca="false">IF(B38="","",IF($B$8&gt;=1,H38*(1+$B$7),H38*(1+$B$7)/(1-$B$8)))</f>
        <v/>
      </c>
      <c r="J38" s="20" t="str">
        <f aca="false">IF(B38="","",I38-H38-I38*$B$8)</f>
        <v/>
      </c>
    </row>
    <row r="39" customFormat="false" ht="15" hidden="false" customHeight="false" outlineLevel="0" collapsed="false">
      <c r="A39" s="16"/>
      <c r="B39" s="17"/>
      <c r="C39" s="18"/>
      <c r="D39" s="13"/>
      <c r="E39" s="19" t="str">
        <f aca="false">IF(B39="","",B39*$B$4/1000)</f>
        <v/>
      </c>
      <c r="F39" s="19" t="str">
        <f aca="false">IF(B39="","",C39*$B$5)</f>
        <v/>
      </c>
      <c r="G39" s="19" t="str">
        <f aca="false">IF(B39="","",(E39+F39)*$B$6)</f>
        <v/>
      </c>
      <c r="H39" s="19" t="str">
        <f aca="false">IF(B39="","",E39+F39+G39+D39)</f>
        <v/>
      </c>
      <c r="I39" s="19" t="str">
        <f aca="false">IF(B39="","",IF($B$8&gt;=1,H39*(1+$B$7),H39*(1+$B$7)/(1-$B$8)))</f>
        <v/>
      </c>
      <c r="J39" s="19" t="str">
        <f aca="false">IF(B39="","",I39-H39-I39*$B$8)</f>
        <v/>
      </c>
    </row>
    <row r="40" customFormat="false" ht="15" hidden="false" customHeight="false" outlineLevel="0" collapsed="false">
      <c r="A40" s="16"/>
      <c r="B40" s="17"/>
      <c r="C40" s="18"/>
      <c r="D40" s="13"/>
      <c r="E40" s="20" t="str">
        <f aca="false">IF(B40="","",B40*$B$4/1000)</f>
        <v/>
      </c>
      <c r="F40" s="20" t="str">
        <f aca="false">IF(B40="","",C40*$B$5)</f>
        <v/>
      </c>
      <c r="G40" s="20" t="str">
        <f aca="false">IF(B40="","",(E40+F40)*$B$6)</f>
        <v/>
      </c>
      <c r="H40" s="20" t="str">
        <f aca="false">IF(B40="","",E40+F40+G40+D40)</f>
        <v/>
      </c>
      <c r="I40" s="20" t="str">
        <f aca="false">IF(B40="","",IF($B$8&gt;=1,H40*(1+$B$7),H40*(1+$B$7)/(1-$B$8)))</f>
        <v/>
      </c>
      <c r="J40" s="20" t="str">
        <f aca="false">IF(B40="","",I40-H40-I40*$B$8)</f>
        <v/>
      </c>
    </row>
    <row r="41" customFormat="false" ht="15" hidden="false" customHeight="false" outlineLevel="0" collapsed="false">
      <c r="A41" s="16"/>
      <c r="B41" s="17"/>
      <c r="C41" s="18"/>
      <c r="D41" s="13"/>
      <c r="E41" s="19" t="str">
        <f aca="false">IF(B41="","",B41*$B$4/1000)</f>
        <v/>
      </c>
      <c r="F41" s="19" t="str">
        <f aca="false">IF(B41="","",C41*$B$5)</f>
        <v/>
      </c>
      <c r="G41" s="19" t="str">
        <f aca="false">IF(B41="","",(E41+F41)*$B$6)</f>
        <v/>
      </c>
      <c r="H41" s="19" t="str">
        <f aca="false">IF(B41="","",E41+F41+G41+D41)</f>
        <v/>
      </c>
      <c r="I41" s="19" t="str">
        <f aca="false">IF(B41="","",IF($B$8&gt;=1,H41*(1+$B$7),H41*(1+$B$7)/(1-$B$8)))</f>
        <v/>
      </c>
      <c r="J41" s="19" t="str">
        <f aca="false">IF(B41="","",I41-H41-I41*$B$8)</f>
        <v/>
      </c>
    </row>
    <row r="42" customFormat="false" ht="15" hidden="false" customHeight="false" outlineLevel="0" collapsed="false">
      <c r="A42" s="16"/>
      <c r="B42" s="17"/>
      <c r="C42" s="18"/>
      <c r="D42" s="13"/>
      <c r="E42" s="20" t="str">
        <f aca="false">IF(B42="","",B42*$B$4/1000)</f>
        <v/>
      </c>
      <c r="F42" s="20" t="str">
        <f aca="false">IF(B42="","",C42*$B$5)</f>
        <v/>
      </c>
      <c r="G42" s="20" t="str">
        <f aca="false">IF(B42="","",(E42+F42)*$B$6)</f>
        <v/>
      </c>
      <c r="H42" s="20" t="str">
        <f aca="false">IF(B42="","",E42+F42+G42+D42)</f>
        <v/>
      </c>
      <c r="I42" s="20" t="str">
        <f aca="false">IF(B42="","",IF($B$8&gt;=1,H42*(1+$B$7),H42*(1+$B$7)/(1-$B$8)))</f>
        <v/>
      </c>
      <c r="J42" s="20" t="str">
        <f aca="false">IF(B42="","",I42-H42-I42*$B$8)</f>
        <v/>
      </c>
    </row>
    <row r="43" customFormat="false" ht="15" hidden="false" customHeight="false" outlineLevel="0" collapsed="false">
      <c r="A43" s="16"/>
      <c r="B43" s="17"/>
      <c r="C43" s="18"/>
      <c r="D43" s="13"/>
      <c r="E43" s="19" t="str">
        <f aca="false">IF(B43="","",B43*$B$4/1000)</f>
        <v/>
      </c>
      <c r="F43" s="19" t="str">
        <f aca="false">IF(B43="","",C43*$B$5)</f>
        <v/>
      </c>
      <c r="G43" s="19" t="str">
        <f aca="false">IF(B43="","",(E43+F43)*$B$6)</f>
        <v/>
      </c>
      <c r="H43" s="19" t="str">
        <f aca="false">IF(B43="","",E43+F43+G43+D43)</f>
        <v/>
      </c>
      <c r="I43" s="19" t="str">
        <f aca="false">IF(B43="","",IF($B$8&gt;=1,H43*(1+$B$7),H43*(1+$B$7)/(1-$B$8)))</f>
        <v/>
      </c>
      <c r="J43" s="19" t="str">
        <f aca="false">IF(B43="","",I43-H43-I43*$B$8)</f>
        <v/>
      </c>
    </row>
    <row r="44" customFormat="false" ht="15" hidden="false" customHeight="false" outlineLevel="0" collapsed="false">
      <c r="A44" s="16"/>
      <c r="B44" s="17"/>
      <c r="C44" s="18"/>
      <c r="D44" s="13"/>
      <c r="E44" s="20" t="str">
        <f aca="false">IF(B44="","",B44*$B$4/1000)</f>
        <v/>
      </c>
      <c r="F44" s="20" t="str">
        <f aca="false">IF(B44="","",C44*$B$5)</f>
        <v/>
      </c>
      <c r="G44" s="20" t="str">
        <f aca="false">IF(B44="","",(E44+F44)*$B$6)</f>
        <v/>
      </c>
      <c r="H44" s="20" t="str">
        <f aca="false">IF(B44="","",E44+F44+G44+D44)</f>
        <v/>
      </c>
      <c r="I44" s="20" t="str">
        <f aca="false">IF(B44="","",IF($B$8&gt;=1,H44*(1+$B$7),H44*(1+$B$7)/(1-$B$8)))</f>
        <v/>
      </c>
      <c r="J44" s="20" t="str">
        <f aca="false">IF(B44="","",I44-H44-I44*$B$8)</f>
        <v/>
      </c>
    </row>
    <row r="45" customFormat="false" ht="15" hidden="false" customHeight="false" outlineLevel="0" collapsed="false">
      <c r="A45" s="16"/>
      <c r="B45" s="17"/>
      <c r="C45" s="18"/>
      <c r="D45" s="13"/>
      <c r="E45" s="19" t="str">
        <f aca="false">IF(B45="","",B45*$B$4/1000)</f>
        <v/>
      </c>
      <c r="F45" s="19" t="str">
        <f aca="false">IF(B45="","",C45*$B$5)</f>
        <v/>
      </c>
      <c r="G45" s="19" t="str">
        <f aca="false">IF(B45="","",(E45+F45)*$B$6)</f>
        <v/>
      </c>
      <c r="H45" s="19" t="str">
        <f aca="false">IF(B45="","",E45+F45+G45+D45)</f>
        <v/>
      </c>
      <c r="I45" s="19" t="str">
        <f aca="false">IF(B45="","",IF($B$8&gt;=1,H45*(1+$B$7),H45*(1+$B$7)/(1-$B$8)))</f>
        <v/>
      </c>
      <c r="J45" s="19" t="str">
        <f aca="false">IF(B45="","",I45-H45-I45*$B$8)</f>
        <v/>
      </c>
    </row>
    <row r="46" customFormat="false" ht="15" hidden="false" customHeight="false" outlineLevel="0" collapsed="false">
      <c r="A46" s="16"/>
      <c r="B46" s="17"/>
      <c r="C46" s="18"/>
      <c r="D46" s="13"/>
      <c r="E46" s="20" t="str">
        <f aca="false">IF(B46="","",B46*$B$4/1000)</f>
        <v/>
      </c>
      <c r="F46" s="20" t="str">
        <f aca="false">IF(B46="","",C46*$B$5)</f>
        <v/>
      </c>
      <c r="G46" s="20" t="str">
        <f aca="false">IF(B46="","",(E46+F46)*$B$6)</f>
        <v/>
      </c>
      <c r="H46" s="20" t="str">
        <f aca="false">IF(B46="","",E46+F46+G46+D46)</f>
        <v/>
      </c>
      <c r="I46" s="20" t="str">
        <f aca="false">IF(B46="","",IF($B$8&gt;=1,H46*(1+$B$7),H46*(1+$B$7)/(1-$B$8)))</f>
        <v/>
      </c>
      <c r="J46" s="20" t="str">
        <f aca="false">IF(B46="","",I46-H46-I46*$B$8)</f>
        <v/>
      </c>
    </row>
    <row r="47" customFormat="false" ht="15" hidden="false" customHeight="false" outlineLevel="0" collapsed="false">
      <c r="A47" s="16"/>
      <c r="B47" s="17"/>
      <c r="C47" s="18"/>
      <c r="D47" s="13"/>
      <c r="E47" s="19" t="str">
        <f aca="false">IF(B47="","",B47*$B$4/1000)</f>
        <v/>
      </c>
      <c r="F47" s="19" t="str">
        <f aca="false">IF(B47="","",C47*$B$5)</f>
        <v/>
      </c>
      <c r="G47" s="19" t="str">
        <f aca="false">IF(B47="","",(E47+F47)*$B$6)</f>
        <v/>
      </c>
      <c r="H47" s="19" t="str">
        <f aca="false">IF(B47="","",E47+F47+G47+D47)</f>
        <v/>
      </c>
      <c r="I47" s="19" t="str">
        <f aca="false">IF(B47="","",IF($B$8&gt;=1,H47*(1+$B$7),H47*(1+$B$7)/(1-$B$8)))</f>
        <v/>
      </c>
      <c r="J47" s="19" t="str">
        <f aca="false">IF(B47="","",I47-H47-I47*$B$8)</f>
        <v/>
      </c>
    </row>
    <row r="48" customFormat="false" ht="15" hidden="false" customHeight="false" outlineLevel="0" collapsed="false">
      <c r="A48" s="16"/>
      <c r="B48" s="17"/>
      <c r="C48" s="18"/>
      <c r="D48" s="13"/>
      <c r="E48" s="20" t="str">
        <f aca="false">IF(B48="","",B48*$B$4/1000)</f>
        <v/>
      </c>
      <c r="F48" s="20" t="str">
        <f aca="false">IF(B48="","",C48*$B$5)</f>
        <v/>
      </c>
      <c r="G48" s="20" t="str">
        <f aca="false">IF(B48="","",(E48+F48)*$B$6)</f>
        <v/>
      </c>
      <c r="H48" s="20" t="str">
        <f aca="false">IF(B48="","",E48+F48+G48+D48)</f>
        <v/>
      </c>
      <c r="I48" s="20" t="str">
        <f aca="false">IF(B48="","",IF($B$8&gt;=1,H48*(1+$B$7),H48*(1+$B$7)/(1-$B$8)))</f>
        <v/>
      </c>
      <c r="J48" s="20" t="str">
        <f aca="false">IF(B48="","",I48-H48-I48*$B$8)</f>
        <v/>
      </c>
    </row>
    <row r="49" customFormat="false" ht="15" hidden="false" customHeight="false" outlineLevel="0" collapsed="false">
      <c r="A49" s="16"/>
      <c r="B49" s="17"/>
      <c r="C49" s="18"/>
      <c r="D49" s="13"/>
      <c r="E49" s="19" t="str">
        <f aca="false">IF(B49="","",B49*$B$4/1000)</f>
        <v/>
      </c>
      <c r="F49" s="19" t="str">
        <f aca="false">IF(B49="","",C49*$B$5)</f>
        <v/>
      </c>
      <c r="G49" s="19" t="str">
        <f aca="false">IF(B49="","",(E49+F49)*$B$6)</f>
        <v/>
      </c>
      <c r="H49" s="19" t="str">
        <f aca="false">IF(B49="","",E49+F49+G49+D49)</f>
        <v/>
      </c>
      <c r="I49" s="19" t="str">
        <f aca="false">IF(B49="","",IF($B$8&gt;=1,H49*(1+$B$7),H49*(1+$B$7)/(1-$B$8)))</f>
        <v/>
      </c>
      <c r="J49" s="19" t="str">
        <f aca="false">IF(B49="","",I49-H49-I49*$B$8)</f>
        <v/>
      </c>
    </row>
    <row r="50" customFormat="false" ht="15" hidden="false" customHeight="false" outlineLevel="0" collapsed="false">
      <c r="A50" s="16"/>
      <c r="B50" s="17"/>
      <c r="C50" s="18"/>
      <c r="D50" s="13"/>
      <c r="E50" s="20" t="str">
        <f aca="false">IF(B50="","",B50*$B$4/1000)</f>
        <v/>
      </c>
      <c r="F50" s="20" t="str">
        <f aca="false">IF(B50="","",C50*$B$5)</f>
        <v/>
      </c>
      <c r="G50" s="20" t="str">
        <f aca="false">IF(B50="","",(E50+F50)*$B$6)</f>
        <v/>
      </c>
      <c r="H50" s="20" t="str">
        <f aca="false">IF(B50="","",E50+F50+G50+D50)</f>
        <v/>
      </c>
      <c r="I50" s="20" t="str">
        <f aca="false">IF(B50="","",IF($B$8&gt;=1,H50*(1+$B$7),H50*(1+$B$7)/(1-$B$8)))</f>
        <v/>
      </c>
      <c r="J50" s="20" t="str">
        <f aca="false">IF(B50="","",I50-H50-I50*$B$8)</f>
        <v/>
      </c>
    </row>
    <row r="52" customFormat="false" ht="15" hidden="false" customHeight="false" outlineLevel="0" collapsed="false">
      <c r="A52" s="21" t="s">
        <v>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2"/>
    <col collapsed="false" customWidth="true" hidden="false" outlineLevel="0" max="3" min="3" style="0" width="16"/>
    <col collapsed="false" customWidth="true" hidden="false" outlineLevel="0" max="4" min="4" style="0" width="30"/>
    <col collapsed="false" customWidth="true" hidden="false" outlineLevel="0" max="5" min="5" style="0" width="22"/>
    <col collapsed="false" customWidth="true" hidden="false" outlineLevel="0" max="6" min="6" style="0" width="12"/>
    <col collapsed="false" customWidth="true" hidden="false" outlineLevel="0" max="7" min="7" style="0" width="7"/>
    <col collapsed="false" customWidth="true" hidden="false" outlineLevel="0" max="8" min="8" style="0" width="14"/>
    <col collapsed="false" customWidth="true" hidden="false" outlineLevel="0" max="10" min="9" style="0" width="13"/>
    <col collapsed="false" customWidth="true" hidden="false" outlineLevel="0" max="11" min="11" style="0" width="9"/>
    <col collapsed="false" customWidth="true" hidden="false" outlineLevel="0" max="12" min="12" style="0" width="11"/>
    <col collapsed="false" customWidth="true" hidden="false" outlineLevel="0" max="13" min="13" style="0" width="14"/>
    <col collapsed="false" customWidth="true" hidden="false" outlineLevel="0" max="14" min="14" style="0" width="13"/>
  </cols>
  <sheetData>
    <row r="1" customFormat="false" ht="19.7" hidden="false" customHeight="false" outlineLevel="0" collapsed="false">
      <c r="A1" s="1" t="s">
        <v>46</v>
      </c>
    </row>
    <row r="2" customFormat="false" ht="15" hidden="false" customHeight="false" outlineLevel="0" collapsed="false">
      <c r="A2" s="2" t="s">
        <v>47</v>
      </c>
    </row>
    <row r="4" customFormat="false" ht="31.5" hidden="false" customHeight="true" outlineLevel="0" collapsed="false">
      <c r="A4" s="15" t="s">
        <v>48</v>
      </c>
      <c r="B4" s="15" t="s">
        <v>49</v>
      </c>
      <c r="C4" s="15" t="s">
        <v>50</v>
      </c>
      <c r="D4" s="15" t="s">
        <v>31</v>
      </c>
      <c r="E4" s="15" t="s">
        <v>51</v>
      </c>
      <c r="F4" s="15" t="s">
        <v>52</v>
      </c>
      <c r="G4" s="15" t="s">
        <v>53</v>
      </c>
      <c r="H4" s="15" t="s">
        <v>54</v>
      </c>
      <c r="I4" s="15" t="s">
        <v>55</v>
      </c>
      <c r="J4" s="15" t="s">
        <v>56</v>
      </c>
      <c r="K4" s="15" t="s">
        <v>57</v>
      </c>
      <c r="L4" s="15" t="s">
        <v>58</v>
      </c>
      <c r="M4" s="15" t="s">
        <v>59</v>
      </c>
      <c r="N4" s="15" t="s">
        <v>60</v>
      </c>
    </row>
    <row r="5" customFormat="false" ht="15" hidden="false" customHeight="false" outlineLevel="0" collapsed="false">
      <c r="A5" s="22" t="n">
        <v>46331</v>
      </c>
      <c r="B5" s="16" t="s">
        <v>61</v>
      </c>
      <c r="C5" s="16" t="s">
        <v>62</v>
      </c>
      <c r="D5" s="16" t="s">
        <v>41</v>
      </c>
      <c r="E5" s="16" t="s">
        <v>63</v>
      </c>
      <c r="F5" s="16" t="s">
        <v>64</v>
      </c>
      <c r="G5" s="16" t="n">
        <v>3</v>
      </c>
      <c r="H5" s="13" t="n">
        <v>12</v>
      </c>
      <c r="I5" s="19" t="n">
        <f aca="false">IF(G5="","",G5*H5)</f>
        <v>36</v>
      </c>
      <c r="J5" s="22" t="n">
        <v>46338</v>
      </c>
      <c r="K5" s="16" t="s">
        <v>65</v>
      </c>
      <c r="L5" s="16" t="s">
        <v>66</v>
      </c>
      <c r="M5" s="19" t="n">
        <f aca="false">IF(D5="","",IFERROR(INDEX(Calculadora!$H$11:$H$50,MATCH(D5,Calculadora!$A$11:$A$50,0)),""))</f>
        <v>3.035</v>
      </c>
      <c r="N5" s="19" t="n">
        <f aca="false">IF(OR(I5="",M5=""),"",I5-G5*M5)</f>
        <v>26.895</v>
      </c>
    </row>
    <row r="6" customFormat="false" ht="15" hidden="false" customHeight="false" outlineLevel="0" collapsed="false">
      <c r="A6" s="22"/>
      <c r="B6" s="16"/>
      <c r="C6" s="16"/>
      <c r="D6" s="16"/>
      <c r="E6" s="16"/>
      <c r="F6" s="16"/>
      <c r="G6" s="16"/>
      <c r="H6" s="13"/>
      <c r="I6" s="19" t="str">
        <f aca="false">IF(G6="","",G6*H6)</f>
        <v/>
      </c>
      <c r="J6" s="22"/>
      <c r="K6" s="16"/>
      <c r="L6" s="16"/>
      <c r="M6" s="19" t="str">
        <f aca="false">IF(D6="","",IFERROR(INDEX(Calculadora!$H$11:$H$50,MATCH(D6,Calculadora!$A$11:$A$50,0)),""))</f>
        <v/>
      </c>
      <c r="N6" s="19" t="str">
        <f aca="false">IF(OR(I6="",M6=""),"",I6-G6*M6)</f>
        <v/>
      </c>
    </row>
    <row r="7" customFormat="false" ht="15" hidden="false" customHeight="false" outlineLevel="0" collapsed="false">
      <c r="A7" s="22"/>
      <c r="B7" s="16"/>
      <c r="C7" s="16"/>
      <c r="D7" s="16"/>
      <c r="E7" s="16"/>
      <c r="F7" s="16"/>
      <c r="G7" s="16"/>
      <c r="H7" s="13"/>
      <c r="I7" s="19" t="str">
        <f aca="false">IF(G7="","",G7*H7)</f>
        <v/>
      </c>
      <c r="J7" s="22"/>
      <c r="K7" s="16"/>
      <c r="L7" s="16"/>
      <c r="M7" s="19" t="str">
        <f aca="false">IF(D7="","",IFERROR(INDEX(Calculadora!$H$11:$H$50,MATCH(D7,Calculadora!$A$11:$A$50,0)),""))</f>
        <v/>
      </c>
      <c r="N7" s="19" t="str">
        <f aca="false">IF(OR(I7="",M7=""),"",I7-G7*M7)</f>
        <v/>
      </c>
    </row>
    <row r="8" customFormat="false" ht="15" hidden="false" customHeight="false" outlineLevel="0" collapsed="false">
      <c r="A8" s="22"/>
      <c r="B8" s="16"/>
      <c r="C8" s="16"/>
      <c r="D8" s="16"/>
      <c r="E8" s="16"/>
      <c r="F8" s="16"/>
      <c r="G8" s="16"/>
      <c r="H8" s="13"/>
      <c r="I8" s="19" t="str">
        <f aca="false">IF(G8="","",G8*H8)</f>
        <v/>
      </c>
      <c r="J8" s="22"/>
      <c r="K8" s="16"/>
      <c r="L8" s="16"/>
      <c r="M8" s="19" t="str">
        <f aca="false">IF(D8="","",IFERROR(INDEX(Calculadora!$H$11:$H$50,MATCH(D8,Calculadora!$A$11:$A$50,0)),""))</f>
        <v/>
      </c>
      <c r="N8" s="19" t="str">
        <f aca="false">IF(OR(I8="",M8=""),"",I8-G8*M8)</f>
        <v/>
      </c>
    </row>
    <row r="9" customFormat="false" ht="15" hidden="false" customHeight="false" outlineLevel="0" collapsed="false">
      <c r="A9" s="22"/>
      <c r="B9" s="16"/>
      <c r="C9" s="16"/>
      <c r="D9" s="16"/>
      <c r="E9" s="16"/>
      <c r="F9" s="16"/>
      <c r="G9" s="16"/>
      <c r="H9" s="13"/>
      <c r="I9" s="19" t="str">
        <f aca="false">IF(G9="","",G9*H9)</f>
        <v/>
      </c>
      <c r="J9" s="22"/>
      <c r="K9" s="16"/>
      <c r="L9" s="16"/>
      <c r="M9" s="19" t="str">
        <f aca="false">IF(D9="","",IFERROR(INDEX(Calculadora!$H$11:$H$50,MATCH(D9,Calculadora!$A$11:$A$50,0)),""))</f>
        <v/>
      </c>
      <c r="N9" s="19" t="str">
        <f aca="false">IF(OR(I9="",M9=""),"",I9-G9*M9)</f>
        <v/>
      </c>
    </row>
    <row r="10" customFormat="false" ht="15" hidden="false" customHeight="false" outlineLevel="0" collapsed="false">
      <c r="A10" s="22"/>
      <c r="B10" s="16"/>
      <c r="C10" s="16"/>
      <c r="D10" s="16"/>
      <c r="E10" s="16"/>
      <c r="F10" s="16"/>
      <c r="G10" s="16"/>
      <c r="H10" s="13"/>
      <c r="I10" s="19" t="str">
        <f aca="false">IF(G10="","",G10*H10)</f>
        <v/>
      </c>
      <c r="J10" s="22"/>
      <c r="K10" s="16"/>
      <c r="L10" s="16"/>
      <c r="M10" s="19" t="str">
        <f aca="false">IF(D10="","",IFERROR(INDEX(Calculadora!$H$11:$H$50,MATCH(D10,Calculadora!$A$11:$A$50,0)),""))</f>
        <v/>
      </c>
      <c r="N10" s="19" t="str">
        <f aca="false">IF(OR(I10="",M10=""),"",I10-G10*M10)</f>
        <v/>
      </c>
    </row>
    <row r="11" customFormat="false" ht="15" hidden="false" customHeight="false" outlineLevel="0" collapsed="false">
      <c r="A11" s="22"/>
      <c r="B11" s="16"/>
      <c r="C11" s="16"/>
      <c r="D11" s="16"/>
      <c r="E11" s="16"/>
      <c r="F11" s="16"/>
      <c r="G11" s="16"/>
      <c r="H11" s="13"/>
      <c r="I11" s="19" t="str">
        <f aca="false">IF(G11="","",G11*H11)</f>
        <v/>
      </c>
      <c r="J11" s="22"/>
      <c r="K11" s="16"/>
      <c r="L11" s="16"/>
      <c r="M11" s="19" t="str">
        <f aca="false">IF(D11="","",IFERROR(INDEX(Calculadora!$H$11:$H$50,MATCH(D11,Calculadora!$A$11:$A$50,0)),""))</f>
        <v/>
      </c>
      <c r="N11" s="19" t="str">
        <f aca="false">IF(OR(I11="",M11=""),"",I11-G11*M11)</f>
        <v/>
      </c>
    </row>
    <row r="12" customFormat="false" ht="15" hidden="false" customHeight="false" outlineLevel="0" collapsed="false">
      <c r="A12" s="22"/>
      <c r="B12" s="16"/>
      <c r="C12" s="16"/>
      <c r="D12" s="16"/>
      <c r="E12" s="16"/>
      <c r="F12" s="16"/>
      <c r="G12" s="16"/>
      <c r="H12" s="13"/>
      <c r="I12" s="19" t="str">
        <f aca="false">IF(G12="","",G12*H12)</f>
        <v/>
      </c>
      <c r="J12" s="22"/>
      <c r="K12" s="16"/>
      <c r="L12" s="16"/>
      <c r="M12" s="19" t="str">
        <f aca="false">IF(D12="","",IFERROR(INDEX(Calculadora!$H$11:$H$50,MATCH(D12,Calculadora!$A$11:$A$50,0)),""))</f>
        <v/>
      </c>
      <c r="N12" s="19" t="str">
        <f aca="false">IF(OR(I12="",M12=""),"",I12-G12*M12)</f>
        <v/>
      </c>
    </row>
    <row r="13" customFormat="false" ht="15" hidden="false" customHeight="false" outlineLevel="0" collapsed="false">
      <c r="A13" s="22"/>
      <c r="B13" s="16"/>
      <c r="C13" s="16"/>
      <c r="D13" s="16"/>
      <c r="E13" s="16"/>
      <c r="F13" s="16"/>
      <c r="G13" s="16"/>
      <c r="H13" s="13"/>
      <c r="I13" s="19" t="str">
        <f aca="false">IF(G13="","",G13*H13)</f>
        <v/>
      </c>
      <c r="J13" s="22"/>
      <c r="K13" s="16"/>
      <c r="L13" s="16"/>
      <c r="M13" s="19" t="str">
        <f aca="false">IF(D13="","",IFERROR(INDEX(Calculadora!$H$11:$H$50,MATCH(D13,Calculadora!$A$11:$A$50,0)),""))</f>
        <v/>
      </c>
      <c r="N13" s="19" t="str">
        <f aca="false">IF(OR(I13="",M13=""),"",I13-G13*M13)</f>
        <v/>
      </c>
    </row>
    <row r="14" customFormat="false" ht="15" hidden="false" customHeight="false" outlineLevel="0" collapsed="false">
      <c r="A14" s="22"/>
      <c r="B14" s="16"/>
      <c r="C14" s="16"/>
      <c r="D14" s="16"/>
      <c r="E14" s="16"/>
      <c r="F14" s="16"/>
      <c r="G14" s="16"/>
      <c r="H14" s="13"/>
      <c r="I14" s="19" t="str">
        <f aca="false">IF(G14="","",G14*H14)</f>
        <v/>
      </c>
      <c r="J14" s="22"/>
      <c r="K14" s="16"/>
      <c r="L14" s="16"/>
      <c r="M14" s="19" t="str">
        <f aca="false">IF(D14="","",IFERROR(INDEX(Calculadora!$H$11:$H$50,MATCH(D14,Calculadora!$A$11:$A$50,0)),""))</f>
        <v/>
      </c>
      <c r="N14" s="19" t="str">
        <f aca="false">IF(OR(I14="",M14=""),"",I14-G14*M14)</f>
        <v/>
      </c>
    </row>
    <row r="15" customFormat="false" ht="15" hidden="false" customHeight="false" outlineLevel="0" collapsed="false">
      <c r="A15" s="22"/>
      <c r="B15" s="16"/>
      <c r="C15" s="16"/>
      <c r="D15" s="16"/>
      <c r="E15" s="16"/>
      <c r="F15" s="16"/>
      <c r="G15" s="16"/>
      <c r="H15" s="13"/>
      <c r="I15" s="19" t="str">
        <f aca="false">IF(G15="","",G15*H15)</f>
        <v/>
      </c>
      <c r="J15" s="22"/>
      <c r="K15" s="16"/>
      <c r="L15" s="16"/>
      <c r="M15" s="19" t="str">
        <f aca="false">IF(D15="","",IFERROR(INDEX(Calculadora!$H$11:$H$50,MATCH(D15,Calculadora!$A$11:$A$50,0)),""))</f>
        <v/>
      </c>
      <c r="N15" s="19" t="str">
        <f aca="false">IF(OR(I15="",M15=""),"",I15-G15*M15)</f>
        <v/>
      </c>
    </row>
    <row r="16" customFormat="false" ht="15" hidden="false" customHeight="false" outlineLevel="0" collapsed="false">
      <c r="A16" s="22"/>
      <c r="B16" s="16"/>
      <c r="C16" s="16"/>
      <c r="D16" s="16"/>
      <c r="E16" s="16"/>
      <c r="F16" s="16"/>
      <c r="G16" s="16"/>
      <c r="H16" s="13"/>
      <c r="I16" s="19" t="str">
        <f aca="false">IF(G16="","",G16*H16)</f>
        <v/>
      </c>
      <c r="J16" s="22"/>
      <c r="K16" s="16"/>
      <c r="L16" s="16"/>
      <c r="M16" s="19" t="str">
        <f aca="false">IF(D16="","",IFERROR(INDEX(Calculadora!$H$11:$H$50,MATCH(D16,Calculadora!$A$11:$A$50,0)),""))</f>
        <v/>
      </c>
      <c r="N16" s="19" t="str">
        <f aca="false">IF(OR(I16="",M16=""),"",I16-G16*M16)</f>
        <v/>
      </c>
    </row>
    <row r="17" customFormat="false" ht="15" hidden="false" customHeight="false" outlineLevel="0" collapsed="false">
      <c r="A17" s="22"/>
      <c r="B17" s="16"/>
      <c r="C17" s="16"/>
      <c r="D17" s="16"/>
      <c r="E17" s="16"/>
      <c r="F17" s="16"/>
      <c r="G17" s="16"/>
      <c r="H17" s="13"/>
      <c r="I17" s="19" t="str">
        <f aca="false">IF(G17="","",G17*H17)</f>
        <v/>
      </c>
      <c r="J17" s="22"/>
      <c r="K17" s="16"/>
      <c r="L17" s="16"/>
      <c r="M17" s="19" t="str">
        <f aca="false">IF(D17="","",IFERROR(INDEX(Calculadora!$H$11:$H$50,MATCH(D17,Calculadora!$A$11:$A$50,0)),""))</f>
        <v/>
      </c>
      <c r="N17" s="19" t="str">
        <f aca="false">IF(OR(I17="",M17=""),"",I17-G17*M17)</f>
        <v/>
      </c>
    </row>
    <row r="18" customFormat="false" ht="15" hidden="false" customHeight="false" outlineLevel="0" collapsed="false">
      <c r="A18" s="22"/>
      <c r="B18" s="16"/>
      <c r="C18" s="16"/>
      <c r="D18" s="16"/>
      <c r="E18" s="16"/>
      <c r="F18" s="16"/>
      <c r="G18" s="16"/>
      <c r="H18" s="13"/>
      <c r="I18" s="19" t="str">
        <f aca="false">IF(G18="","",G18*H18)</f>
        <v/>
      </c>
      <c r="J18" s="22"/>
      <c r="K18" s="16"/>
      <c r="L18" s="16"/>
      <c r="M18" s="19" t="str">
        <f aca="false">IF(D18="","",IFERROR(INDEX(Calculadora!$H$11:$H$50,MATCH(D18,Calculadora!$A$11:$A$50,0)),""))</f>
        <v/>
      </c>
      <c r="N18" s="19" t="str">
        <f aca="false">IF(OR(I18="",M18=""),"",I18-G18*M18)</f>
        <v/>
      </c>
    </row>
    <row r="19" customFormat="false" ht="15" hidden="false" customHeight="false" outlineLevel="0" collapsed="false">
      <c r="A19" s="22"/>
      <c r="B19" s="16"/>
      <c r="C19" s="16"/>
      <c r="D19" s="16"/>
      <c r="E19" s="16"/>
      <c r="F19" s="16"/>
      <c r="G19" s="16"/>
      <c r="H19" s="13"/>
      <c r="I19" s="19" t="str">
        <f aca="false">IF(G19="","",G19*H19)</f>
        <v/>
      </c>
      <c r="J19" s="22"/>
      <c r="K19" s="16"/>
      <c r="L19" s="16"/>
      <c r="M19" s="19" t="str">
        <f aca="false">IF(D19="","",IFERROR(INDEX(Calculadora!$H$11:$H$50,MATCH(D19,Calculadora!$A$11:$A$50,0)),""))</f>
        <v/>
      </c>
      <c r="N19" s="19" t="str">
        <f aca="false">IF(OR(I19="",M19=""),"",I19-G19*M19)</f>
        <v/>
      </c>
    </row>
    <row r="20" customFormat="false" ht="15" hidden="false" customHeight="false" outlineLevel="0" collapsed="false">
      <c r="A20" s="22"/>
      <c r="B20" s="16"/>
      <c r="C20" s="16"/>
      <c r="D20" s="16"/>
      <c r="E20" s="16"/>
      <c r="F20" s="16"/>
      <c r="G20" s="16"/>
      <c r="H20" s="13"/>
      <c r="I20" s="19" t="str">
        <f aca="false">IF(G20="","",G20*H20)</f>
        <v/>
      </c>
      <c r="J20" s="22"/>
      <c r="K20" s="16"/>
      <c r="L20" s="16"/>
      <c r="M20" s="19" t="str">
        <f aca="false">IF(D20="","",IFERROR(INDEX(Calculadora!$H$11:$H$50,MATCH(D20,Calculadora!$A$11:$A$50,0)),""))</f>
        <v/>
      </c>
      <c r="N20" s="19" t="str">
        <f aca="false">IF(OR(I20="",M20=""),"",I20-G20*M20)</f>
        <v/>
      </c>
    </row>
    <row r="21" customFormat="false" ht="15" hidden="false" customHeight="false" outlineLevel="0" collapsed="false">
      <c r="A21" s="22"/>
      <c r="B21" s="16"/>
      <c r="C21" s="16"/>
      <c r="D21" s="16"/>
      <c r="E21" s="16"/>
      <c r="F21" s="16"/>
      <c r="G21" s="16"/>
      <c r="H21" s="13"/>
      <c r="I21" s="19" t="str">
        <f aca="false">IF(G21="","",G21*H21)</f>
        <v/>
      </c>
      <c r="J21" s="22"/>
      <c r="K21" s="16"/>
      <c r="L21" s="16"/>
      <c r="M21" s="19" t="str">
        <f aca="false">IF(D21="","",IFERROR(INDEX(Calculadora!$H$11:$H$50,MATCH(D21,Calculadora!$A$11:$A$50,0)),""))</f>
        <v/>
      </c>
      <c r="N21" s="19" t="str">
        <f aca="false">IF(OR(I21="",M21=""),"",I21-G21*M21)</f>
        <v/>
      </c>
    </row>
    <row r="22" customFormat="false" ht="15" hidden="false" customHeight="false" outlineLevel="0" collapsed="false">
      <c r="A22" s="22"/>
      <c r="B22" s="16"/>
      <c r="C22" s="16"/>
      <c r="D22" s="16"/>
      <c r="E22" s="16"/>
      <c r="F22" s="16"/>
      <c r="G22" s="16"/>
      <c r="H22" s="13"/>
      <c r="I22" s="19" t="str">
        <f aca="false">IF(G22="","",G22*H22)</f>
        <v/>
      </c>
      <c r="J22" s="22"/>
      <c r="K22" s="16"/>
      <c r="L22" s="16"/>
      <c r="M22" s="19" t="str">
        <f aca="false">IF(D22="","",IFERROR(INDEX(Calculadora!$H$11:$H$50,MATCH(D22,Calculadora!$A$11:$A$50,0)),""))</f>
        <v/>
      </c>
      <c r="N22" s="19" t="str">
        <f aca="false">IF(OR(I22="",M22=""),"",I22-G22*M22)</f>
        <v/>
      </c>
    </row>
    <row r="23" customFormat="false" ht="15" hidden="false" customHeight="false" outlineLevel="0" collapsed="false">
      <c r="A23" s="22"/>
      <c r="B23" s="16"/>
      <c r="C23" s="16"/>
      <c r="D23" s="16"/>
      <c r="E23" s="16"/>
      <c r="F23" s="16"/>
      <c r="G23" s="16"/>
      <c r="H23" s="13"/>
      <c r="I23" s="19" t="str">
        <f aca="false">IF(G23="","",G23*H23)</f>
        <v/>
      </c>
      <c r="J23" s="22"/>
      <c r="K23" s="16"/>
      <c r="L23" s="16"/>
      <c r="M23" s="19" t="str">
        <f aca="false">IF(D23="","",IFERROR(INDEX(Calculadora!$H$11:$H$50,MATCH(D23,Calculadora!$A$11:$A$50,0)),""))</f>
        <v/>
      </c>
      <c r="N23" s="19" t="str">
        <f aca="false">IF(OR(I23="",M23=""),"",I23-G23*M23)</f>
        <v/>
      </c>
    </row>
    <row r="24" customFormat="false" ht="15" hidden="false" customHeight="false" outlineLevel="0" collapsed="false">
      <c r="A24" s="22"/>
      <c r="B24" s="16"/>
      <c r="C24" s="16"/>
      <c r="D24" s="16"/>
      <c r="E24" s="16"/>
      <c r="F24" s="16"/>
      <c r="G24" s="16"/>
      <c r="H24" s="13"/>
      <c r="I24" s="19" t="str">
        <f aca="false">IF(G24="","",G24*H24)</f>
        <v/>
      </c>
      <c r="J24" s="22"/>
      <c r="K24" s="16"/>
      <c r="L24" s="16"/>
      <c r="M24" s="19" t="str">
        <f aca="false">IF(D24="","",IFERROR(INDEX(Calculadora!$H$11:$H$50,MATCH(D24,Calculadora!$A$11:$A$50,0)),""))</f>
        <v/>
      </c>
      <c r="N24" s="19" t="str">
        <f aca="false">IF(OR(I24="",M24=""),"",I24-G24*M24)</f>
        <v/>
      </c>
    </row>
    <row r="25" customFormat="false" ht="15" hidden="false" customHeight="false" outlineLevel="0" collapsed="false">
      <c r="A25" s="22"/>
      <c r="B25" s="16"/>
      <c r="C25" s="16"/>
      <c r="D25" s="16"/>
      <c r="E25" s="16"/>
      <c r="F25" s="16"/>
      <c r="G25" s="16"/>
      <c r="H25" s="13"/>
      <c r="I25" s="19" t="str">
        <f aca="false">IF(G25="","",G25*H25)</f>
        <v/>
      </c>
      <c r="J25" s="22"/>
      <c r="K25" s="16"/>
      <c r="L25" s="16"/>
      <c r="M25" s="19" t="str">
        <f aca="false">IF(D25="","",IFERROR(INDEX(Calculadora!$H$11:$H$50,MATCH(D25,Calculadora!$A$11:$A$50,0)),""))</f>
        <v/>
      </c>
      <c r="N25" s="19" t="str">
        <f aca="false">IF(OR(I25="",M25=""),"",I25-G25*M25)</f>
        <v/>
      </c>
    </row>
    <row r="26" customFormat="false" ht="15" hidden="false" customHeight="false" outlineLevel="0" collapsed="false">
      <c r="A26" s="22"/>
      <c r="B26" s="16"/>
      <c r="C26" s="16"/>
      <c r="D26" s="16"/>
      <c r="E26" s="16"/>
      <c r="F26" s="16"/>
      <c r="G26" s="16"/>
      <c r="H26" s="13"/>
      <c r="I26" s="19" t="str">
        <f aca="false">IF(G26="","",G26*H26)</f>
        <v/>
      </c>
      <c r="J26" s="22"/>
      <c r="K26" s="16"/>
      <c r="L26" s="16"/>
      <c r="M26" s="19" t="str">
        <f aca="false">IF(D26="","",IFERROR(INDEX(Calculadora!$H$11:$H$50,MATCH(D26,Calculadora!$A$11:$A$50,0)),""))</f>
        <v/>
      </c>
      <c r="N26" s="19" t="str">
        <f aca="false">IF(OR(I26="",M26=""),"",I26-G26*M26)</f>
        <v/>
      </c>
    </row>
    <row r="27" customFormat="false" ht="15" hidden="false" customHeight="false" outlineLevel="0" collapsed="false">
      <c r="A27" s="22"/>
      <c r="B27" s="16"/>
      <c r="C27" s="16"/>
      <c r="D27" s="16"/>
      <c r="E27" s="16"/>
      <c r="F27" s="16"/>
      <c r="G27" s="16"/>
      <c r="H27" s="13"/>
      <c r="I27" s="19" t="str">
        <f aca="false">IF(G27="","",G27*H27)</f>
        <v/>
      </c>
      <c r="J27" s="22"/>
      <c r="K27" s="16"/>
      <c r="L27" s="16"/>
      <c r="M27" s="19" t="str">
        <f aca="false">IF(D27="","",IFERROR(INDEX(Calculadora!$H$11:$H$50,MATCH(D27,Calculadora!$A$11:$A$50,0)),""))</f>
        <v/>
      </c>
      <c r="N27" s="19" t="str">
        <f aca="false">IF(OR(I27="",M27=""),"",I27-G27*M27)</f>
        <v/>
      </c>
    </row>
    <row r="28" customFormat="false" ht="15" hidden="false" customHeight="false" outlineLevel="0" collapsed="false">
      <c r="A28" s="22"/>
      <c r="B28" s="16"/>
      <c r="C28" s="16"/>
      <c r="D28" s="16"/>
      <c r="E28" s="16"/>
      <c r="F28" s="16"/>
      <c r="G28" s="16"/>
      <c r="H28" s="13"/>
      <c r="I28" s="19" t="str">
        <f aca="false">IF(G28="","",G28*H28)</f>
        <v/>
      </c>
      <c r="J28" s="22"/>
      <c r="K28" s="16"/>
      <c r="L28" s="16"/>
      <c r="M28" s="19" t="str">
        <f aca="false">IF(D28="","",IFERROR(INDEX(Calculadora!$H$11:$H$50,MATCH(D28,Calculadora!$A$11:$A$50,0)),""))</f>
        <v/>
      </c>
      <c r="N28" s="19" t="str">
        <f aca="false">IF(OR(I28="",M28=""),"",I28-G28*M28)</f>
        <v/>
      </c>
    </row>
    <row r="29" customFormat="false" ht="15" hidden="false" customHeight="false" outlineLevel="0" collapsed="false">
      <c r="A29" s="22"/>
      <c r="B29" s="16"/>
      <c r="C29" s="16"/>
      <c r="D29" s="16"/>
      <c r="E29" s="16"/>
      <c r="F29" s="16"/>
      <c r="G29" s="16"/>
      <c r="H29" s="13"/>
      <c r="I29" s="19" t="str">
        <f aca="false">IF(G29="","",G29*H29)</f>
        <v/>
      </c>
      <c r="J29" s="22"/>
      <c r="K29" s="16"/>
      <c r="L29" s="16"/>
      <c r="M29" s="19" t="str">
        <f aca="false">IF(D29="","",IFERROR(INDEX(Calculadora!$H$11:$H$50,MATCH(D29,Calculadora!$A$11:$A$50,0)),""))</f>
        <v/>
      </c>
      <c r="N29" s="19" t="str">
        <f aca="false">IF(OR(I29="",M29=""),"",I29-G29*M29)</f>
        <v/>
      </c>
    </row>
    <row r="30" customFormat="false" ht="15" hidden="false" customHeight="false" outlineLevel="0" collapsed="false">
      <c r="A30" s="22"/>
      <c r="B30" s="16"/>
      <c r="C30" s="16"/>
      <c r="D30" s="16"/>
      <c r="E30" s="16"/>
      <c r="F30" s="16"/>
      <c r="G30" s="16"/>
      <c r="H30" s="13"/>
      <c r="I30" s="19" t="str">
        <f aca="false">IF(G30="","",G30*H30)</f>
        <v/>
      </c>
      <c r="J30" s="22"/>
      <c r="K30" s="16"/>
      <c r="L30" s="16"/>
      <c r="M30" s="19" t="str">
        <f aca="false">IF(D30="","",IFERROR(INDEX(Calculadora!$H$11:$H$50,MATCH(D30,Calculadora!$A$11:$A$50,0)),""))</f>
        <v/>
      </c>
      <c r="N30" s="19" t="str">
        <f aca="false">IF(OR(I30="",M30=""),"",I30-G30*M30)</f>
        <v/>
      </c>
    </row>
    <row r="31" customFormat="false" ht="15" hidden="false" customHeight="false" outlineLevel="0" collapsed="false">
      <c r="A31" s="22"/>
      <c r="B31" s="16"/>
      <c r="C31" s="16"/>
      <c r="D31" s="16"/>
      <c r="E31" s="16"/>
      <c r="F31" s="16"/>
      <c r="G31" s="16"/>
      <c r="H31" s="13"/>
      <c r="I31" s="19" t="str">
        <f aca="false">IF(G31="","",G31*H31)</f>
        <v/>
      </c>
      <c r="J31" s="22"/>
      <c r="K31" s="16"/>
      <c r="L31" s="16"/>
      <c r="M31" s="19" t="str">
        <f aca="false">IF(D31="","",IFERROR(INDEX(Calculadora!$H$11:$H$50,MATCH(D31,Calculadora!$A$11:$A$50,0)),""))</f>
        <v/>
      </c>
      <c r="N31" s="19" t="str">
        <f aca="false">IF(OR(I31="",M31=""),"",I31-G31*M31)</f>
        <v/>
      </c>
    </row>
    <row r="32" customFormat="false" ht="15" hidden="false" customHeight="false" outlineLevel="0" collapsed="false">
      <c r="A32" s="22"/>
      <c r="B32" s="16"/>
      <c r="C32" s="16"/>
      <c r="D32" s="16"/>
      <c r="E32" s="16"/>
      <c r="F32" s="16"/>
      <c r="G32" s="16"/>
      <c r="H32" s="13"/>
      <c r="I32" s="19" t="str">
        <f aca="false">IF(G32="","",G32*H32)</f>
        <v/>
      </c>
      <c r="J32" s="22"/>
      <c r="K32" s="16"/>
      <c r="L32" s="16"/>
      <c r="M32" s="19" t="str">
        <f aca="false">IF(D32="","",IFERROR(INDEX(Calculadora!$H$11:$H$50,MATCH(D32,Calculadora!$A$11:$A$50,0)),""))</f>
        <v/>
      </c>
      <c r="N32" s="19" t="str">
        <f aca="false">IF(OR(I32="",M32=""),"",I32-G32*M32)</f>
        <v/>
      </c>
    </row>
    <row r="33" customFormat="false" ht="15" hidden="false" customHeight="false" outlineLevel="0" collapsed="false">
      <c r="A33" s="22"/>
      <c r="B33" s="16"/>
      <c r="C33" s="16"/>
      <c r="D33" s="16"/>
      <c r="E33" s="16"/>
      <c r="F33" s="16"/>
      <c r="G33" s="16"/>
      <c r="H33" s="13"/>
      <c r="I33" s="19" t="str">
        <f aca="false">IF(G33="","",G33*H33)</f>
        <v/>
      </c>
      <c r="J33" s="22"/>
      <c r="K33" s="16"/>
      <c r="L33" s="16"/>
      <c r="M33" s="19" t="str">
        <f aca="false">IF(D33="","",IFERROR(INDEX(Calculadora!$H$11:$H$50,MATCH(D33,Calculadora!$A$11:$A$50,0)),""))</f>
        <v/>
      </c>
      <c r="N33" s="19" t="str">
        <f aca="false">IF(OR(I33="",M33=""),"",I33-G33*M33)</f>
        <v/>
      </c>
    </row>
    <row r="34" customFormat="false" ht="15" hidden="false" customHeight="false" outlineLevel="0" collapsed="false">
      <c r="A34" s="22"/>
      <c r="B34" s="16"/>
      <c r="C34" s="16"/>
      <c r="D34" s="16"/>
      <c r="E34" s="16"/>
      <c r="F34" s="16"/>
      <c r="G34" s="16"/>
      <c r="H34" s="13"/>
      <c r="I34" s="19" t="str">
        <f aca="false">IF(G34="","",G34*H34)</f>
        <v/>
      </c>
      <c r="J34" s="22"/>
      <c r="K34" s="16"/>
      <c r="L34" s="16"/>
      <c r="M34" s="19" t="str">
        <f aca="false">IF(D34="","",IFERROR(INDEX(Calculadora!$H$11:$H$50,MATCH(D34,Calculadora!$A$11:$A$50,0)),""))</f>
        <v/>
      </c>
      <c r="N34" s="19" t="str">
        <f aca="false">IF(OR(I34="",M34=""),"",I34-G34*M34)</f>
        <v/>
      </c>
    </row>
    <row r="35" customFormat="false" ht="15" hidden="false" customHeight="false" outlineLevel="0" collapsed="false">
      <c r="A35" s="22"/>
      <c r="B35" s="16"/>
      <c r="C35" s="16"/>
      <c r="D35" s="16"/>
      <c r="E35" s="16"/>
      <c r="F35" s="16"/>
      <c r="G35" s="16"/>
      <c r="H35" s="13"/>
      <c r="I35" s="19" t="str">
        <f aca="false">IF(G35="","",G35*H35)</f>
        <v/>
      </c>
      <c r="J35" s="22"/>
      <c r="K35" s="16"/>
      <c r="L35" s="16"/>
      <c r="M35" s="19" t="str">
        <f aca="false">IF(D35="","",IFERROR(INDEX(Calculadora!$H$11:$H$50,MATCH(D35,Calculadora!$A$11:$A$50,0)),""))</f>
        <v/>
      </c>
      <c r="N35" s="19" t="str">
        <f aca="false">IF(OR(I35="",M35=""),"",I35-G35*M35)</f>
        <v/>
      </c>
    </row>
    <row r="36" customFormat="false" ht="15" hidden="false" customHeight="false" outlineLevel="0" collapsed="false">
      <c r="A36" s="22"/>
      <c r="B36" s="16"/>
      <c r="C36" s="16"/>
      <c r="D36" s="16"/>
      <c r="E36" s="16"/>
      <c r="F36" s="16"/>
      <c r="G36" s="16"/>
      <c r="H36" s="13"/>
      <c r="I36" s="19" t="str">
        <f aca="false">IF(G36="","",G36*H36)</f>
        <v/>
      </c>
      <c r="J36" s="22"/>
      <c r="K36" s="16"/>
      <c r="L36" s="16"/>
      <c r="M36" s="19" t="str">
        <f aca="false">IF(D36="","",IFERROR(INDEX(Calculadora!$H$11:$H$50,MATCH(D36,Calculadora!$A$11:$A$50,0)),""))</f>
        <v/>
      </c>
      <c r="N36" s="19" t="str">
        <f aca="false">IF(OR(I36="",M36=""),"",I36-G36*M36)</f>
        <v/>
      </c>
    </row>
    <row r="37" customFormat="false" ht="15" hidden="false" customHeight="false" outlineLevel="0" collapsed="false">
      <c r="A37" s="22"/>
      <c r="B37" s="16"/>
      <c r="C37" s="16"/>
      <c r="D37" s="16"/>
      <c r="E37" s="16"/>
      <c r="F37" s="16"/>
      <c r="G37" s="16"/>
      <c r="H37" s="13"/>
      <c r="I37" s="19" t="str">
        <f aca="false">IF(G37="","",G37*H37)</f>
        <v/>
      </c>
      <c r="J37" s="22"/>
      <c r="K37" s="16"/>
      <c r="L37" s="16"/>
      <c r="M37" s="19" t="str">
        <f aca="false">IF(D37="","",IFERROR(INDEX(Calculadora!$H$11:$H$50,MATCH(D37,Calculadora!$A$11:$A$50,0)),""))</f>
        <v/>
      </c>
      <c r="N37" s="19" t="str">
        <f aca="false">IF(OR(I37="",M37=""),"",I37-G37*M37)</f>
        <v/>
      </c>
    </row>
    <row r="38" customFormat="false" ht="15" hidden="false" customHeight="false" outlineLevel="0" collapsed="false">
      <c r="A38" s="22"/>
      <c r="B38" s="16"/>
      <c r="C38" s="16"/>
      <c r="D38" s="16"/>
      <c r="E38" s="16"/>
      <c r="F38" s="16"/>
      <c r="G38" s="16"/>
      <c r="H38" s="13"/>
      <c r="I38" s="19" t="str">
        <f aca="false">IF(G38="","",G38*H38)</f>
        <v/>
      </c>
      <c r="J38" s="22"/>
      <c r="K38" s="16"/>
      <c r="L38" s="16"/>
      <c r="M38" s="19" t="str">
        <f aca="false">IF(D38="","",IFERROR(INDEX(Calculadora!$H$11:$H$50,MATCH(D38,Calculadora!$A$11:$A$50,0)),""))</f>
        <v/>
      </c>
      <c r="N38" s="19" t="str">
        <f aca="false">IF(OR(I38="",M38=""),"",I38-G38*M38)</f>
        <v/>
      </c>
    </row>
    <row r="39" customFormat="false" ht="15" hidden="false" customHeight="false" outlineLevel="0" collapsed="false">
      <c r="A39" s="22"/>
      <c r="B39" s="16"/>
      <c r="C39" s="16"/>
      <c r="D39" s="16"/>
      <c r="E39" s="16"/>
      <c r="F39" s="16"/>
      <c r="G39" s="16"/>
      <c r="H39" s="13"/>
      <c r="I39" s="19" t="str">
        <f aca="false">IF(G39="","",G39*H39)</f>
        <v/>
      </c>
      <c r="J39" s="22"/>
      <c r="K39" s="16"/>
      <c r="L39" s="16"/>
      <c r="M39" s="19" t="str">
        <f aca="false">IF(D39="","",IFERROR(INDEX(Calculadora!$H$11:$H$50,MATCH(D39,Calculadora!$A$11:$A$50,0)),""))</f>
        <v/>
      </c>
      <c r="N39" s="19" t="str">
        <f aca="false">IF(OR(I39="",M39=""),"",I39-G39*M39)</f>
        <v/>
      </c>
    </row>
    <row r="40" customFormat="false" ht="15" hidden="false" customHeight="false" outlineLevel="0" collapsed="false">
      <c r="A40" s="22"/>
      <c r="B40" s="16"/>
      <c r="C40" s="16"/>
      <c r="D40" s="16"/>
      <c r="E40" s="16"/>
      <c r="F40" s="16"/>
      <c r="G40" s="16"/>
      <c r="H40" s="13"/>
      <c r="I40" s="19" t="str">
        <f aca="false">IF(G40="","",G40*H40)</f>
        <v/>
      </c>
      <c r="J40" s="22"/>
      <c r="K40" s="16"/>
      <c r="L40" s="16"/>
      <c r="M40" s="19" t="str">
        <f aca="false">IF(D40="","",IFERROR(INDEX(Calculadora!$H$11:$H$50,MATCH(D40,Calculadora!$A$11:$A$50,0)),""))</f>
        <v/>
      </c>
      <c r="N40" s="19" t="str">
        <f aca="false">IF(OR(I40="",M40=""),"",I40-G40*M40)</f>
        <v/>
      </c>
    </row>
    <row r="41" customFormat="false" ht="15" hidden="false" customHeight="false" outlineLevel="0" collapsed="false">
      <c r="A41" s="22"/>
      <c r="B41" s="16"/>
      <c r="C41" s="16"/>
      <c r="D41" s="16"/>
      <c r="E41" s="16"/>
      <c r="F41" s="16"/>
      <c r="G41" s="16"/>
      <c r="H41" s="13"/>
      <c r="I41" s="19" t="str">
        <f aca="false">IF(G41="","",G41*H41)</f>
        <v/>
      </c>
      <c r="J41" s="22"/>
      <c r="K41" s="16"/>
      <c r="L41" s="16"/>
      <c r="M41" s="19" t="str">
        <f aca="false">IF(D41="","",IFERROR(INDEX(Calculadora!$H$11:$H$50,MATCH(D41,Calculadora!$A$11:$A$50,0)),""))</f>
        <v/>
      </c>
      <c r="N41" s="19" t="str">
        <f aca="false">IF(OR(I41="",M41=""),"",I41-G41*M41)</f>
        <v/>
      </c>
    </row>
    <row r="42" customFormat="false" ht="15" hidden="false" customHeight="false" outlineLevel="0" collapsed="false">
      <c r="A42" s="22"/>
      <c r="B42" s="16"/>
      <c r="C42" s="16"/>
      <c r="D42" s="16"/>
      <c r="E42" s="16"/>
      <c r="F42" s="16"/>
      <c r="G42" s="16"/>
      <c r="H42" s="13"/>
      <c r="I42" s="19" t="str">
        <f aca="false">IF(G42="","",G42*H42)</f>
        <v/>
      </c>
      <c r="J42" s="22"/>
      <c r="K42" s="16"/>
      <c r="L42" s="16"/>
      <c r="M42" s="19" t="str">
        <f aca="false">IF(D42="","",IFERROR(INDEX(Calculadora!$H$11:$H$50,MATCH(D42,Calculadora!$A$11:$A$50,0)),""))</f>
        <v/>
      </c>
      <c r="N42" s="19" t="str">
        <f aca="false">IF(OR(I42="",M42=""),"",I42-G42*M42)</f>
        <v/>
      </c>
    </row>
    <row r="43" customFormat="false" ht="15" hidden="false" customHeight="false" outlineLevel="0" collapsed="false">
      <c r="A43" s="22"/>
      <c r="B43" s="16"/>
      <c r="C43" s="16"/>
      <c r="D43" s="16"/>
      <c r="E43" s="16"/>
      <c r="F43" s="16"/>
      <c r="G43" s="16"/>
      <c r="H43" s="13"/>
      <c r="I43" s="19" t="str">
        <f aca="false">IF(G43="","",G43*H43)</f>
        <v/>
      </c>
      <c r="J43" s="22"/>
      <c r="K43" s="16"/>
      <c r="L43" s="16"/>
      <c r="M43" s="19" t="str">
        <f aca="false">IF(D43="","",IFERROR(INDEX(Calculadora!$H$11:$H$50,MATCH(D43,Calculadora!$A$11:$A$50,0)),""))</f>
        <v/>
      </c>
      <c r="N43" s="19" t="str">
        <f aca="false">IF(OR(I43="",M43=""),"",I43-G43*M43)</f>
        <v/>
      </c>
    </row>
    <row r="44" customFormat="false" ht="15" hidden="false" customHeight="false" outlineLevel="0" collapsed="false">
      <c r="A44" s="22"/>
      <c r="B44" s="16"/>
      <c r="C44" s="16"/>
      <c r="D44" s="16"/>
      <c r="E44" s="16"/>
      <c r="F44" s="16"/>
      <c r="G44" s="16"/>
      <c r="H44" s="13"/>
      <c r="I44" s="19" t="str">
        <f aca="false">IF(G44="","",G44*H44)</f>
        <v/>
      </c>
      <c r="J44" s="22"/>
      <c r="K44" s="16"/>
      <c r="L44" s="16"/>
      <c r="M44" s="19" t="str">
        <f aca="false">IF(D44="","",IFERROR(INDEX(Calculadora!$H$11:$H$50,MATCH(D44,Calculadora!$A$11:$A$50,0)),""))</f>
        <v/>
      </c>
      <c r="N44" s="19" t="str">
        <f aca="false">IF(OR(I44="",M44=""),"",I44-G44*M44)</f>
        <v/>
      </c>
    </row>
    <row r="45" customFormat="false" ht="15" hidden="false" customHeight="false" outlineLevel="0" collapsed="false">
      <c r="A45" s="22"/>
      <c r="B45" s="16"/>
      <c r="C45" s="16"/>
      <c r="D45" s="16"/>
      <c r="E45" s="16"/>
      <c r="F45" s="16"/>
      <c r="G45" s="16"/>
      <c r="H45" s="13"/>
      <c r="I45" s="19" t="str">
        <f aca="false">IF(G45="","",G45*H45)</f>
        <v/>
      </c>
      <c r="J45" s="22"/>
      <c r="K45" s="16"/>
      <c r="L45" s="16"/>
      <c r="M45" s="19" t="str">
        <f aca="false">IF(D45="","",IFERROR(INDEX(Calculadora!$H$11:$H$50,MATCH(D45,Calculadora!$A$11:$A$50,0)),""))</f>
        <v/>
      </c>
      <c r="N45" s="19" t="str">
        <f aca="false">IF(OR(I45="",M45=""),"",I45-G45*M45)</f>
        <v/>
      </c>
    </row>
    <row r="46" customFormat="false" ht="15" hidden="false" customHeight="false" outlineLevel="0" collapsed="false">
      <c r="A46" s="22"/>
      <c r="B46" s="16"/>
      <c r="C46" s="16"/>
      <c r="D46" s="16"/>
      <c r="E46" s="16"/>
      <c r="F46" s="16"/>
      <c r="G46" s="16"/>
      <c r="H46" s="13"/>
      <c r="I46" s="19" t="str">
        <f aca="false">IF(G46="","",G46*H46)</f>
        <v/>
      </c>
      <c r="J46" s="22"/>
      <c r="K46" s="16"/>
      <c r="L46" s="16"/>
      <c r="M46" s="19" t="str">
        <f aca="false">IF(D46="","",IFERROR(INDEX(Calculadora!$H$11:$H$50,MATCH(D46,Calculadora!$A$11:$A$50,0)),""))</f>
        <v/>
      </c>
      <c r="N46" s="19" t="str">
        <f aca="false">IF(OR(I46="",M46=""),"",I46-G46*M46)</f>
        <v/>
      </c>
    </row>
    <row r="47" customFormat="false" ht="15" hidden="false" customHeight="false" outlineLevel="0" collapsed="false">
      <c r="A47" s="22"/>
      <c r="B47" s="16"/>
      <c r="C47" s="16"/>
      <c r="D47" s="16"/>
      <c r="E47" s="16"/>
      <c r="F47" s="16"/>
      <c r="G47" s="16"/>
      <c r="H47" s="13"/>
      <c r="I47" s="19" t="str">
        <f aca="false">IF(G47="","",G47*H47)</f>
        <v/>
      </c>
      <c r="J47" s="22"/>
      <c r="K47" s="16"/>
      <c r="L47" s="16"/>
      <c r="M47" s="19" t="str">
        <f aca="false">IF(D47="","",IFERROR(INDEX(Calculadora!$H$11:$H$50,MATCH(D47,Calculadora!$A$11:$A$50,0)),""))</f>
        <v/>
      </c>
      <c r="N47" s="19" t="str">
        <f aca="false">IF(OR(I47="",M47=""),"",I47-G47*M47)</f>
        <v/>
      </c>
    </row>
    <row r="48" customFormat="false" ht="15" hidden="false" customHeight="false" outlineLevel="0" collapsed="false">
      <c r="A48" s="22"/>
      <c r="B48" s="16"/>
      <c r="C48" s="16"/>
      <c r="D48" s="16"/>
      <c r="E48" s="16"/>
      <c r="F48" s="16"/>
      <c r="G48" s="16"/>
      <c r="H48" s="13"/>
      <c r="I48" s="19" t="str">
        <f aca="false">IF(G48="","",G48*H48)</f>
        <v/>
      </c>
      <c r="J48" s="22"/>
      <c r="K48" s="16"/>
      <c r="L48" s="16"/>
      <c r="M48" s="19" t="str">
        <f aca="false">IF(D48="","",IFERROR(INDEX(Calculadora!$H$11:$H$50,MATCH(D48,Calculadora!$A$11:$A$50,0)),""))</f>
        <v/>
      </c>
      <c r="N48" s="19" t="str">
        <f aca="false">IF(OR(I48="",M48=""),"",I48-G48*M48)</f>
        <v/>
      </c>
    </row>
    <row r="49" customFormat="false" ht="15" hidden="false" customHeight="false" outlineLevel="0" collapsed="false">
      <c r="A49" s="22"/>
      <c r="B49" s="16"/>
      <c r="C49" s="16"/>
      <c r="D49" s="16"/>
      <c r="E49" s="16"/>
      <c r="F49" s="16"/>
      <c r="G49" s="16"/>
      <c r="H49" s="13"/>
      <c r="I49" s="19" t="str">
        <f aca="false">IF(G49="","",G49*H49)</f>
        <v/>
      </c>
      <c r="J49" s="22"/>
      <c r="K49" s="16"/>
      <c r="L49" s="16"/>
      <c r="M49" s="19" t="str">
        <f aca="false">IF(D49="","",IFERROR(INDEX(Calculadora!$H$11:$H$50,MATCH(D49,Calculadora!$A$11:$A$50,0)),""))</f>
        <v/>
      </c>
      <c r="N49" s="19" t="str">
        <f aca="false">IF(OR(I49="",M49=""),"",I49-G49*M49)</f>
        <v/>
      </c>
    </row>
    <row r="50" customFormat="false" ht="15" hidden="false" customHeight="false" outlineLevel="0" collapsed="false">
      <c r="A50" s="22"/>
      <c r="B50" s="16"/>
      <c r="C50" s="16"/>
      <c r="D50" s="16"/>
      <c r="E50" s="16"/>
      <c r="F50" s="16"/>
      <c r="G50" s="16"/>
      <c r="H50" s="13"/>
      <c r="I50" s="19" t="str">
        <f aca="false">IF(G50="","",G50*H50)</f>
        <v/>
      </c>
      <c r="J50" s="22"/>
      <c r="K50" s="16"/>
      <c r="L50" s="16"/>
      <c r="M50" s="19" t="str">
        <f aca="false">IF(D50="","",IFERROR(INDEX(Calculadora!$H$11:$H$50,MATCH(D50,Calculadora!$A$11:$A$50,0)),""))</f>
        <v/>
      </c>
      <c r="N50" s="19" t="str">
        <f aca="false">IF(OR(I50="",M50=""),"",I50-G50*M50)</f>
        <v/>
      </c>
    </row>
    <row r="51" customFormat="false" ht="15" hidden="false" customHeight="false" outlineLevel="0" collapsed="false">
      <c r="A51" s="22"/>
      <c r="B51" s="16"/>
      <c r="C51" s="16"/>
      <c r="D51" s="16"/>
      <c r="E51" s="16"/>
      <c r="F51" s="16"/>
      <c r="G51" s="16"/>
      <c r="H51" s="13"/>
      <c r="I51" s="19" t="str">
        <f aca="false">IF(G51="","",G51*H51)</f>
        <v/>
      </c>
      <c r="J51" s="22"/>
      <c r="K51" s="16"/>
      <c r="L51" s="16"/>
      <c r="M51" s="19" t="str">
        <f aca="false">IF(D51="","",IFERROR(INDEX(Calculadora!$H$11:$H$50,MATCH(D51,Calculadora!$A$11:$A$50,0)),""))</f>
        <v/>
      </c>
      <c r="N51" s="19" t="str">
        <f aca="false">IF(OR(I51="",M51=""),"",I51-G51*M51)</f>
        <v/>
      </c>
    </row>
    <row r="52" customFormat="false" ht="15" hidden="false" customHeight="false" outlineLevel="0" collapsed="false">
      <c r="A52" s="22"/>
      <c r="B52" s="16"/>
      <c r="C52" s="16"/>
      <c r="D52" s="16"/>
      <c r="E52" s="16"/>
      <c r="F52" s="16"/>
      <c r="G52" s="16"/>
      <c r="H52" s="13"/>
      <c r="I52" s="19" t="str">
        <f aca="false">IF(G52="","",G52*H52)</f>
        <v/>
      </c>
      <c r="J52" s="22"/>
      <c r="K52" s="16"/>
      <c r="L52" s="16"/>
      <c r="M52" s="19" t="str">
        <f aca="false">IF(D52="","",IFERROR(INDEX(Calculadora!$H$11:$H$50,MATCH(D52,Calculadora!$A$11:$A$50,0)),""))</f>
        <v/>
      </c>
      <c r="N52" s="19" t="str">
        <f aca="false">IF(OR(I52="",M52=""),"",I52-G52*M52)</f>
        <v/>
      </c>
    </row>
    <row r="53" customFormat="false" ht="15" hidden="false" customHeight="false" outlineLevel="0" collapsed="false">
      <c r="A53" s="22"/>
      <c r="B53" s="16"/>
      <c r="C53" s="16"/>
      <c r="D53" s="16"/>
      <c r="E53" s="16"/>
      <c r="F53" s="16"/>
      <c r="G53" s="16"/>
      <c r="H53" s="13"/>
      <c r="I53" s="19" t="str">
        <f aca="false">IF(G53="","",G53*H53)</f>
        <v/>
      </c>
      <c r="J53" s="22"/>
      <c r="K53" s="16"/>
      <c r="L53" s="16"/>
      <c r="M53" s="19" t="str">
        <f aca="false">IF(D53="","",IFERROR(INDEX(Calculadora!$H$11:$H$50,MATCH(D53,Calculadora!$A$11:$A$50,0)),""))</f>
        <v/>
      </c>
      <c r="N53" s="19" t="str">
        <f aca="false">IF(OR(I53="",M53=""),"",I53-G53*M53)</f>
        <v/>
      </c>
    </row>
    <row r="54" customFormat="false" ht="15" hidden="false" customHeight="false" outlineLevel="0" collapsed="false">
      <c r="A54" s="22"/>
      <c r="B54" s="16"/>
      <c r="C54" s="16"/>
      <c r="D54" s="16"/>
      <c r="E54" s="16"/>
      <c r="F54" s="16"/>
      <c r="G54" s="16"/>
      <c r="H54" s="13"/>
      <c r="I54" s="19" t="str">
        <f aca="false">IF(G54="","",G54*H54)</f>
        <v/>
      </c>
      <c r="J54" s="22"/>
      <c r="K54" s="16"/>
      <c r="L54" s="16"/>
      <c r="M54" s="19" t="str">
        <f aca="false">IF(D54="","",IFERROR(INDEX(Calculadora!$H$11:$H$50,MATCH(D54,Calculadora!$A$11:$A$50,0)),""))</f>
        <v/>
      </c>
      <c r="N54" s="19" t="str">
        <f aca="false">IF(OR(I54="",M54=""),"",I54-G54*M54)</f>
        <v/>
      </c>
    </row>
    <row r="55" customFormat="false" ht="15" hidden="false" customHeight="false" outlineLevel="0" collapsed="false">
      <c r="A55" s="22"/>
      <c r="B55" s="16"/>
      <c r="C55" s="16"/>
      <c r="D55" s="16"/>
      <c r="E55" s="16"/>
      <c r="F55" s="16"/>
      <c r="G55" s="16"/>
      <c r="H55" s="13"/>
      <c r="I55" s="19" t="str">
        <f aca="false">IF(G55="","",G55*H55)</f>
        <v/>
      </c>
      <c r="J55" s="22"/>
      <c r="K55" s="16"/>
      <c r="L55" s="16"/>
      <c r="M55" s="19" t="str">
        <f aca="false">IF(D55="","",IFERROR(INDEX(Calculadora!$H$11:$H$50,MATCH(D55,Calculadora!$A$11:$A$50,0)),""))</f>
        <v/>
      </c>
      <c r="N55" s="19" t="str">
        <f aca="false">IF(OR(I55="",M55=""),"",I55-G55*M55)</f>
        <v/>
      </c>
    </row>
    <row r="56" customFormat="false" ht="15" hidden="false" customHeight="false" outlineLevel="0" collapsed="false">
      <c r="A56" s="22"/>
      <c r="B56" s="16"/>
      <c r="C56" s="16"/>
      <c r="D56" s="16"/>
      <c r="E56" s="16"/>
      <c r="F56" s="16"/>
      <c r="G56" s="16"/>
      <c r="H56" s="13"/>
      <c r="I56" s="19" t="str">
        <f aca="false">IF(G56="","",G56*H56)</f>
        <v/>
      </c>
      <c r="J56" s="22"/>
      <c r="K56" s="16"/>
      <c r="L56" s="16"/>
      <c r="M56" s="19" t="str">
        <f aca="false">IF(D56="","",IFERROR(INDEX(Calculadora!$H$11:$H$50,MATCH(D56,Calculadora!$A$11:$A$50,0)),""))</f>
        <v/>
      </c>
      <c r="N56" s="19" t="str">
        <f aca="false">IF(OR(I56="",M56=""),"",I56-G56*M56)</f>
        <v/>
      </c>
    </row>
    <row r="57" customFormat="false" ht="15" hidden="false" customHeight="false" outlineLevel="0" collapsed="false">
      <c r="A57" s="22"/>
      <c r="B57" s="16"/>
      <c r="C57" s="16"/>
      <c r="D57" s="16"/>
      <c r="E57" s="16"/>
      <c r="F57" s="16"/>
      <c r="G57" s="16"/>
      <c r="H57" s="13"/>
      <c r="I57" s="19" t="str">
        <f aca="false">IF(G57="","",G57*H57)</f>
        <v/>
      </c>
      <c r="J57" s="22"/>
      <c r="K57" s="16"/>
      <c r="L57" s="16"/>
      <c r="M57" s="19" t="str">
        <f aca="false">IF(D57="","",IFERROR(INDEX(Calculadora!$H$11:$H$50,MATCH(D57,Calculadora!$A$11:$A$50,0)),""))</f>
        <v/>
      </c>
      <c r="N57" s="19" t="str">
        <f aca="false">IF(OR(I57="",M57=""),"",I57-G57*M57)</f>
        <v/>
      </c>
    </row>
    <row r="58" customFormat="false" ht="15" hidden="false" customHeight="false" outlineLevel="0" collapsed="false">
      <c r="A58" s="22"/>
      <c r="B58" s="16"/>
      <c r="C58" s="16"/>
      <c r="D58" s="16"/>
      <c r="E58" s="16"/>
      <c r="F58" s="16"/>
      <c r="G58" s="16"/>
      <c r="H58" s="13"/>
      <c r="I58" s="19" t="str">
        <f aca="false">IF(G58="","",G58*H58)</f>
        <v/>
      </c>
      <c r="J58" s="22"/>
      <c r="K58" s="16"/>
      <c r="L58" s="16"/>
      <c r="M58" s="19" t="str">
        <f aca="false">IF(D58="","",IFERROR(INDEX(Calculadora!$H$11:$H$50,MATCH(D58,Calculadora!$A$11:$A$50,0)),""))</f>
        <v/>
      </c>
      <c r="N58" s="19" t="str">
        <f aca="false">IF(OR(I58="",M58=""),"",I58-G58*M58)</f>
        <v/>
      </c>
    </row>
    <row r="59" customFormat="false" ht="15" hidden="false" customHeight="false" outlineLevel="0" collapsed="false">
      <c r="A59" s="22"/>
      <c r="B59" s="16"/>
      <c r="C59" s="16"/>
      <c r="D59" s="16"/>
      <c r="E59" s="16"/>
      <c r="F59" s="16"/>
      <c r="G59" s="16"/>
      <c r="H59" s="13"/>
      <c r="I59" s="19" t="str">
        <f aca="false">IF(G59="","",G59*H59)</f>
        <v/>
      </c>
      <c r="J59" s="22"/>
      <c r="K59" s="16"/>
      <c r="L59" s="16"/>
      <c r="M59" s="19" t="str">
        <f aca="false">IF(D59="","",IFERROR(INDEX(Calculadora!$H$11:$H$50,MATCH(D59,Calculadora!$A$11:$A$50,0)),""))</f>
        <v/>
      </c>
      <c r="N59" s="19" t="str">
        <f aca="false">IF(OR(I59="",M59=""),"",I59-G59*M59)</f>
        <v/>
      </c>
    </row>
    <row r="60" customFormat="false" ht="15" hidden="false" customHeight="false" outlineLevel="0" collapsed="false">
      <c r="A60" s="22"/>
      <c r="B60" s="16"/>
      <c r="C60" s="16"/>
      <c r="D60" s="16"/>
      <c r="E60" s="16"/>
      <c r="F60" s="16"/>
      <c r="G60" s="16"/>
      <c r="H60" s="13"/>
      <c r="I60" s="19" t="str">
        <f aca="false">IF(G60="","",G60*H60)</f>
        <v/>
      </c>
      <c r="J60" s="22"/>
      <c r="K60" s="16"/>
      <c r="L60" s="16"/>
      <c r="M60" s="19" t="str">
        <f aca="false">IF(D60="","",IFERROR(INDEX(Calculadora!$H$11:$H$50,MATCH(D60,Calculadora!$A$11:$A$50,0)),""))</f>
        <v/>
      </c>
      <c r="N60" s="19" t="str">
        <f aca="false">IF(OR(I60="",M60=""),"",I60-G60*M60)</f>
        <v/>
      </c>
    </row>
    <row r="61" customFormat="false" ht="15" hidden="false" customHeight="false" outlineLevel="0" collapsed="false">
      <c r="A61" s="22"/>
      <c r="B61" s="16"/>
      <c r="C61" s="16"/>
      <c r="D61" s="16"/>
      <c r="E61" s="16"/>
      <c r="F61" s="16"/>
      <c r="G61" s="16"/>
      <c r="H61" s="13"/>
      <c r="I61" s="19" t="str">
        <f aca="false">IF(G61="","",G61*H61)</f>
        <v/>
      </c>
      <c r="J61" s="22"/>
      <c r="K61" s="16"/>
      <c r="L61" s="16"/>
      <c r="M61" s="19" t="str">
        <f aca="false">IF(D61="","",IFERROR(INDEX(Calculadora!$H$11:$H$50,MATCH(D61,Calculadora!$A$11:$A$50,0)),""))</f>
        <v/>
      </c>
      <c r="N61" s="19" t="str">
        <f aca="false">IF(OR(I61="",M61=""),"",I61-G61*M61)</f>
        <v/>
      </c>
    </row>
    <row r="62" customFormat="false" ht="15" hidden="false" customHeight="false" outlineLevel="0" collapsed="false">
      <c r="A62" s="22"/>
      <c r="B62" s="16"/>
      <c r="C62" s="16"/>
      <c r="D62" s="16"/>
      <c r="E62" s="16"/>
      <c r="F62" s="16"/>
      <c r="G62" s="16"/>
      <c r="H62" s="13"/>
      <c r="I62" s="19" t="str">
        <f aca="false">IF(G62="","",G62*H62)</f>
        <v/>
      </c>
      <c r="J62" s="22"/>
      <c r="K62" s="16"/>
      <c r="L62" s="16"/>
      <c r="M62" s="19" t="str">
        <f aca="false">IF(D62="","",IFERROR(INDEX(Calculadora!$H$11:$H$50,MATCH(D62,Calculadora!$A$11:$A$50,0)),""))</f>
        <v/>
      </c>
      <c r="N62" s="19" t="str">
        <f aca="false">IF(OR(I62="",M62=""),"",I62-G62*M62)</f>
        <v/>
      </c>
    </row>
    <row r="63" customFormat="false" ht="15" hidden="false" customHeight="false" outlineLevel="0" collapsed="false">
      <c r="A63" s="22"/>
      <c r="B63" s="16"/>
      <c r="C63" s="16"/>
      <c r="D63" s="16"/>
      <c r="E63" s="16"/>
      <c r="F63" s="16"/>
      <c r="G63" s="16"/>
      <c r="H63" s="13"/>
      <c r="I63" s="19" t="str">
        <f aca="false">IF(G63="","",G63*H63)</f>
        <v/>
      </c>
      <c r="J63" s="22"/>
      <c r="K63" s="16"/>
      <c r="L63" s="16"/>
      <c r="M63" s="19" t="str">
        <f aca="false">IF(D63="","",IFERROR(INDEX(Calculadora!$H$11:$H$50,MATCH(D63,Calculadora!$A$11:$A$50,0)),""))</f>
        <v/>
      </c>
      <c r="N63" s="19" t="str">
        <f aca="false">IF(OR(I63="",M63=""),"",I63-G63*M63)</f>
        <v/>
      </c>
    </row>
    <row r="64" customFormat="false" ht="15" hidden="false" customHeight="false" outlineLevel="0" collapsed="false">
      <c r="A64" s="22"/>
      <c r="B64" s="16"/>
      <c r="C64" s="16"/>
      <c r="D64" s="16"/>
      <c r="E64" s="16"/>
      <c r="F64" s="16"/>
      <c r="G64" s="16"/>
      <c r="H64" s="13"/>
      <c r="I64" s="19" t="str">
        <f aca="false">IF(G64="","",G64*H64)</f>
        <v/>
      </c>
      <c r="J64" s="22"/>
      <c r="K64" s="16"/>
      <c r="L64" s="16"/>
      <c r="M64" s="19" t="str">
        <f aca="false">IF(D64="","",IFERROR(INDEX(Calculadora!$H$11:$H$50,MATCH(D64,Calculadora!$A$11:$A$50,0)),""))</f>
        <v/>
      </c>
      <c r="N64" s="19" t="str">
        <f aca="false">IF(OR(I64="",M64=""),"",I64-G64*M64)</f>
        <v/>
      </c>
    </row>
    <row r="65" customFormat="false" ht="15" hidden="false" customHeight="false" outlineLevel="0" collapsed="false">
      <c r="A65" s="22"/>
      <c r="B65" s="16"/>
      <c r="C65" s="16"/>
      <c r="D65" s="16"/>
      <c r="E65" s="16"/>
      <c r="F65" s="16"/>
      <c r="G65" s="16"/>
      <c r="H65" s="13"/>
      <c r="I65" s="19" t="str">
        <f aca="false">IF(G65="","",G65*H65)</f>
        <v/>
      </c>
      <c r="J65" s="22"/>
      <c r="K65" s="16"/>
      <c r="L65" s="16"/>
      <c r="M65" s="19" t="str">
        <f aca="false">IF(D65="","",IFERROR(INDEX(Calculadora!$H$11:$H$50,MATCH(D65,Calculadora!$A$11:$A$50,0)),""))</f>
        <v/>
      </c>
      <c r="N65" s="19" t="str">
        <f aca="false">IF(OR(I65="",M65=""),"",I65-G65*M65)</f>
        <v/>
      </c>
    </row>
    <row r="66" customFormat="false" ht="15" hidden="false" customHeight="false" outlineLevel="0" collapsed="false">
      <c r="A66" s="22"/>
      <c r="B66" s="16"/>
      <c r="C66" s="16"/>
      <c r="D66" s="16"/>
      <c r="E66" s="16"/>
      <c r="F66" s="16"/>
      <c r="G66" s="16"/>
      <c r="H66" s="13"/>
      <c r="I66" s="19" t="str">
        <f aca="false">IF(G66="","",G66*H66)</f>
        <v/>
      </c>
      <c r="J66" s="22"/>
      <c r="K66" s="16"/>
      <c r="L66" s="16"/>
      <c r="M66" s="19" t="str">
        <f aca="false">IF(D66="","",IFERROR(INDEX(Calculadora!$H$11:$H$50,MATCH(D66,Calculadora!$A$11:$A$50,0)),""))</f>
        <v/>
      </c>
      <c r="N66" s="19" t="str">
        <f aca="false">IF(OR(I66="",M66=""),"",I66-G66*M66)</f>
        <v/>
      </c>
    </row>
    <row r="67" customFormat="false" ht="15" hidden="false" customHeight="false" outlineLevel="0" collapsed="false">
      <c r="A67" s="22"/>
      <c r="B67" s="16"/>
      <c r="C67" s="16"/>
      <c r="D67" s="16"/>
      <c r="E67" s="16"/>
      <c r="F67" s="16"/>
      <c r="G67" s="16"/>
      <c r="H67" s="13"/>
      <c r="I67" s="19" t="str">
        <f aca="false">IF(G67="","",G67*H67)</f>
        <v/>
      </c>
      <c r="J67" s="22"/>
      <c r="K67" s="16"/>
      <c r="L67" s="16"/>
      <c r="M67" s="19" t="str">
        <f aca="false">IF(D67="","",IFERROR(INDEX(Calculadora!$H$11:$H$50,MATCH(D67,Calculadora!$A$11:$A$50,0)),""))</f>
        <v/>
      </c>
      <c r="N67" s="19" t="str">
        <f aca="false">IF(OR(I67="",M67=""),"",I67-G67*M67)</f>
        <v/>
      </c>
    </row>
    <row r="68" customFormat="false" ht="15" hidden="false" customHeight="false" outlineLevel="0" collapsed="false">
      <c r="A68" s="22"/>
      <c r="B68" s="16"/>
      <c r="C68" s="16"/>
      <c r="D68" s="16"/>
      <c r="E68" s="16"/>
      <c r="F68" s="16"/>
      <c r="G68" s="16"/>
      <c r="H68" s="13"/>
      <c r="I68" s="19" t="str">
        <f aca="false">IF(G68="","",G68*H68)</f>
        <v/>
      </c>
      <c r="J68" s="22"/>
      <c r="K68" s="16"/>
      <c r="L68" s="16"/>
      <c r="M68" s="19" t="str">
        <f aca="false">IF(D68="","",IFERROR(INDEX(Calculadora!$H$11:$H$50,MATCH(D68,Calculadora!$A$11:$A$50,0)),""))</f>
        <v/>
      </c>
      <c r="N68" s="19" t="str">
        <f aca="false">IF(OR(I68="",M68=""),"",I68-G68*M68)</f>
        <v/>
      </c>
    </row>
    <row r="69" customFormat="false" ht="15" hidden="false" customHeight="false" outlineLevel="0" collapsed="false">
      <c r="A69" s="22"/>
      <c r="B69" s="16"/>
      <c r="C69" s="16"/>
      <c r="D69" s="16"/>
      <c r="E69" s="16"/>
      <c r="F69" s="16"/>
      <c r="G69" s="16"/>
      <c r="H69" s="13"/>
      <c r="I69" s="19" t="str">
        <f aca="false">IF(G69="","",G69*H69)</f>
        <v/>
      </c>
      <c r="J69" s="22"/>
      <c r="K69" s="16"/>
      <c r="L69" s="16"/>
      <c r="M69" s="19" t="str">
        <f aca="false">IF(D69="","",IFERROR(INDEX(Calculadora!$H$11:$H$50,MATCH(D69,Calculadora!$A$11:$A$50,0)),""))</f>
        <v/>
      </c>
      <c r="N69" s="19" t="str">
        <f aca="false">IF(OR(I69="",M69=""),"",I69-G69*M69)</f>
        <v/>
      </c>
    </row>
    <row r="70" customFormat="false" ht="15" hidden="false" customHeight="false" outlineLevel="0" collapsed="false">
      <c r="A70" s="22"/>
      <c r="B70" s="16"/>
      <c r="C70" s="16"/>
      <c r="D70" s="16"/>
      <c r="E70" s="16"/>
      <c r="F70" s="16"/>
      <c r="G70" s="16"/>
      <c r="H70" s="13"/>
      <c r="I70" s="19" t="str">
        <f aca="false">IF(G70="","",G70*H70)</f>
        <v/>
      </c>
      <c r="J70" s="22"/>
      <c r="K70" s="16"/>
      <c r="L70" s="16"/>
      <c r="M70" s="19" t="str">
        <f aca="false">IF(D70="","",IFERROR(INDEX(Calculadora!$H$11:$H$50,MATCH(D70,Calculadora!$A$11:$A$50,0)),""))</f>
        <v/>
      </c>
      <c r="N70" s="19" t="str">
        <f aca="false">IF(OR(I70="",M70=""),"",I70-G70*M70)</f>
        <v/>
      </c>
    </row>
    <row r="71" customFormat="false" ht="15" hidden="false" customHeight="false" outlineLevel="0" collapsed="false">
      <c r="A71" s="22"/>
      <c r="B71" s="16"/>
      <c r="C71" s="16"/>
      <c r="D71" s="16"/>
      <c r="E71" s="16"/>
      <c r="F71" s="16"/>
      <c r="G71" s="16"/>
      <c r="H71" s="13"/>
      <c r="I71" s="19" t="str">
        <f aca="false">IF(G71="","",G71*H71)</f>
        <v/>
      </c>
      <c r="J71" s="22"/>
      <c r="K71" s="16"/>
      <c r="L71" s="16"/>
      <c r="M71" s="19" t="str">
        <f aca="false">IF(D71="","",IFERROR(INDEX(Calculadora!$H$11:$H$50,MATCH(D71,Calculadora!$A$11:$A$50,0)),""))</f>
        <v/>
      </c>
      <c r="N71" s="19" t="str">
        <f aca="false">IF(OR(I71="",M71=""),"",I71-G71*M71)</f>
        <v/>
      </c>
    </row>
    <row r="72" customFormat="false" ht="15" hidden="false" customHeight="false" outlineLevel="0" collapsed="false">
      <c r="A72" s="22"/>
      <c r="B72" s="16"/>
      <c r="C72" s="16"/>
      <c r="D72" s="16"/>
      <c r="E72" s="16"/>
      <c r="F72" s="16"/>
      <c r="G72" s="16"/>
      <c r="H72" s="13"/>
      <c r="I72" s="19" t="str">
        <f aca="false">IF(G72="","",G72*H72)</f>
        <v/>
      </c>
      <c r="J72" s="22"/>
      <c r="K72" s="16"/>
      <c r="L72" s="16"/>
      <c r="M72" s="19" t="str">
        <f aca="false">IF(D72="","",IFERROR(INDEX(Calculadora!$H$11:$H$50,MATCH(D72,Calculadora!$A$11:$A$50,0)),""))</f>
        <v/>
      </c>
      <c r="N72" s="19" t="str">
        <f aca="false">IF(OR(I72="",M72=""),"",I72-G72*M72)</f>
        <v/>
      </c>
    </row>
    <row r="73" customFormat="false" ht="15" hidden="false" customHeight="false" outlineLevel="0" collapsed="false">
      <c r="A73" s="22"/>
      <c r="B73" s="16"/>
      <c r="C73" s="16"/>
      <c r="D73" s="16"/>
      <c r="E73" s="16"/>
      <c r="F73" s="16"/>
      <c r="G73" s="16"/>
      <c r="H73" s="13"/>
      <c r="I73" s="19" t="str">
        <f aca="false">IF(G73="","",G73*H73)</f>
        <v/>
      </c>
      <c r="J73" s="22"/>
      <c r="K73" s="16"/>
      <c r="L73" s="16"/>
      <c r="M73" s="19" t="str">
        <f aca="false">IF(D73="","",IFERROR(INDEX(Calculadora!$H$11:$H$50,MATCH(D73,Calculadora!$A$11:$A$50,0)),""))</f>
        <v/>
      </c>
      <c r="N73" s="19" t="str">
        <f aca="false">IF(OR(I73="",M73=""),"",I73-G73*M73)</f>
        <v/>
      </c>
    </row>
    <row r="74" customFormat="false" ht="15" hidden="false" customHeight="false" outlineLevel="0" collapsed="false">
      <c r="A74" s="22"/>
      <c r="B74" s="16"/>
      <c r="C74" s="16"/>
      <c r="D74" s="16"/>
      <c r="E74" s="16"/>
      <c r="F74" s="16"/>
      <c r="G74" s="16"/>
      <c r="H74" s="13"/>
      <c r="I74" s="19" t="str">
        <f aca="false">IF(G74="","",G74*H74)</f>
        <v/>
      </c>
      <c r="J74" s="22"/>
      <c r="K74" s="16"/>
      <c r="L74" s="16"/>
      <c r="M74" s="19" t="str">
        <f aca="false">IF(D74="","",IFERROR(INDEX(Calculadora!$H$11:$H$50,MATCH(D74,Calculadora!$A$11:$A$50,0)),""))</f>
        <v/>
      </c>
      <c r="N74" s="19" t="str">
        <f aca="false">IF(OR(I74="",M74=""),"",I74-G74*M74)</f>
        <v/>
      </c>
    </row>
    <row r="75" customFormat="false" ht="15" hidden="false" customHeight="false" outlineLevel="0" collapsed="false">
      <c r="A75" s="22"/>
      <c r="B75" s="16"/>
      <c r="C75" s="16"/>
      <c r="D75" s="16"/>
      <c r="E75" s="16"/>
      <c r="F75" s="16"/>
      <c r="G75" s="16"/>
      <c r="H75" s="13"/>
      <c r="I75" s="19" t="str">
        <f aca="false">IF(G75="","",G75*H75)</f>
        <v/>
      </c>
      <c r="J75" s="22"/>
      <c r="K75" s="16"/>
      <c r="L75" s="16"/>
      <c r="M75" s="19" t="str">
        <f aca="false">IF(D75="","",IFERROR(INDEX(Calculadora!$H$11:$H$50,MATCH(D75,Calculadora!$A$11:$A$50,0)),""))</f>
        <v/>
      </c>
      <c r="N75" s="19" t="str">
        <f aca="false">IF(OR(I75="",M75=""),"",I75-G75*M75)</f>
        <v/>
      </c>
    </row>
    <row r="76" customFormat="false" ht="15" hidden="false" customHeight="false" outlineLevel="0" collapsed="false">
      <c r="A76" s="22"/>
      <c r="B76" s="16"/>
      <c r="C76" s="16"/>
      <c r="D76" s="16"/>
      <c r="E76" s="16"/>
      <c r="F76" s="16"/>
      <c r="G76" s="16"/>
      <c r="H76" s="13"/>
      <c r="I76" s="19" t="str">
        <f aca="false">IF(G76="","",G76*H76)</f>
        <v/>
      </c>
      <c r="J76" s="22"/>
      <c r="K76" s="16"/>
      <c r="L76" s="16"/>
      <c r="M76" s="19" t="str">
        <f aca="false">IF(D76="","",IFERROR(INDEX(Calculadora!$H$11:$H$50,MATCH(D76,Calculadora!$A$11:$A$50,0)),""))</f>
        <v/>
      </c>
      <c r="N76" s="19" t="str">
        <f aca="false">IF(OR(I76="",M76=""),"",I76-G76*M76)</f>
        <v/>
      </c>
    </row>
    <row r="77" customFormat="false" ht="15" hidden="false" customHeight="false" outlineLevel="0" collapsed="false">
      <c r="A77" s="22"/>
      <c r="B77" s="16"/>
      <c r="C77" s="16"/>
      <c r="D77" s="16"/>
      <c r="E77" s="16"/>
      <c r="F77" s="16"/>
      <c r="G77" s="16"/>
      <c r="H77" s="13"/>
      <c r="I77" s="19" t="str">
        <f aca="false">IF(G77="","",G77*H77)</f>
        <v/>
      </c>
      <c r="J77" s="22"/>
      <c r="K77" s="16"/>
      <c r="L77" s="16"/>
      <c r="M77" s="19" t="str">
        <f aca="false">IF(D77="","",IFERROR(INDEX(Calculadora!$H$11:$H$50,MATCH(D77,Calculadora!$A$11:$A$50,0)),""))</f>
        <v/>
      </c>
      <c r="N77" s="19" t="str">
        <f aca="false">IF(OR(I77="",M77=""),"",I77-G77*M77)</f>
        <v/>
      </c>
    </row>
    <row r="78" customFormat="false" ht="15" hidden="false" customHeight="false" outlineLevel="0" collapsed="false">
      <c r="A78" s="22"/>
      <c r="B78" s="16"/>
      <c r="C78" s="16"/>
      <c r="D78" s="16"/>
      <c r="E78" s="16"/>
      <c r="F78" s="16"/>
      <c r="G78" s="16"/>
      <c r="H78" s="13"/>
      <c r="I78" s="19" t="str">
        <f aca="false">IF(G78="","",G78*H78)</f>
        <v/>
      </c>
      <c r="J78" s="22"/>
      <c r="K78" s="16"/>
      <c r="L78" s="16"/>
      <c r="M78" s="19" t="str">
        <f aca="false">IF(D78="","",IFERROR(INDEX(Calculadora!$H$11:$H$50,MATCH(D78,Calculadora!$A$11:$A$50,0)),""))</f>
        <v/>
      </c>
      <c r="N78" s="19" t="str">
        <f aca="false">IF(OR(I78="",M78=""),"",I78-G78*M78)</f>
        <v/>
      </c>
    </row>
    <row r="79" customFormat="false" ht="15" hidden="false" customHeight="false" outlineLevel="0" collapsed="false">
      <c r="A79" s="22"/>
      <c r="B79" s="16"/>
      <c r="C79" s="16"/>
      <c r="D79" s="16"/>
      <c r="E79" s="16"/>
      <c r="F79" s="16"/>
      <c r="G79" s="16"/>
      <c r="H79" s="13"/>
      <c r="I79" s="19" t="str">
        <f aca="false">IF(G79="","",G79*H79)</f>
        <v/>
      </c>
      <c r="J79" s="22"/>
      <c r="K79" s="16"/>
      <c r="L79" s="16"/>
      <c r="M79" s="19" t="str">
        <f aca="false">IF(D79="","",IFERROR(INDEX(Calculadora!$H$11:$H$50,MATCH(D79,Calculadora!$A$11:$A$50,0)),""))</f>
        <v/>
      </c>
      <c r="N79" s="19" t="str">
        <f aca="false">IF(OR(I79="",M79=""),"",I79-G79*M79)</f>
        <v/>
      </c>
    </row>
    <row r="80" customFormat="false" ht="15" hidden="false" customHeight="false" outlineLevel="0" collapsed="false">
      <c r="A80" s="22"/>
      <c r="B80" s="16"/>
      <c r="C80" s="16"/>
      <c r="D80" s="16"/>
      <c r="E80" s="16"/>
      <c r="F80" s="16"/>
      <c r="G80" s="16"/>
      <c r="H80" s="13"/>
      <c r="I80" s="19" t="str">
        <f aca="false">IF(G80="","",G80*H80)</f>
        <v/>
      </c>
      <c r="J80" s="22"/>
      <c r="K80" s="16"/>
      <c r="L80" s="16"/>
      <c r="M80" s="19" t="str">
        <f aca="false">IF(D80="","",IFERROR(INDEX(Calculadora!$H$11:$H$50,MATCH(D80,Calculadora!$A$11:$A$50,0)),""))</f>
        <v/>
      </c>
      <c r="N80" s="19" t="str">
        <f aca="false">IF(OR(I80="",M80=""),"",I80-G80*M80)</f>
        <v/>
      </c>
    </row>
    <row r="81" customFormat="false" ht="15" hidden="false" customHeight="false" outlineLevel="0" collapsed="false">
      <c r="A81" s="22"/>
      <c r="B81" s="16"/>
      <c r="C81" s="16"/>
      <c r="D81" s="16"/>
      <c r="E81" s="16"/>
      <c r="F81" s="16"/>
      <c r="G81" s="16"/>
      <c r="H81" s="13"/>
      <c r="I81" s="19" t="str">
        <f aca="false">IF(G81="","",G81*H81)</f>
        <v/>
      </c>
      <c r="J81" s="22"/>
      <c r="K81" s="16"/>
      <c r="L81" s="16"/>
      <c r="M81" s="19" t="str">
        <f aca="false">IF(D81="","",IFERROR(INDEX(Calculadora!$H$11:$H$50,MATCH(D81,Calculadora!$A$11:$A$50,0)),""))</f>
        <v/>
      </c>
      <c r="N81" s="19" t="str">
        <f aca="false">IF(OR(I81="",M81=""),"",I81-G81*M81)</f>
        <v/>
      </c>
    </row>
    <row r="82" customFormat="false" ht="15" hidden="false" customHeight="false" outlineLevel="0" collapsed="false">
      <c r="A82" s="22"/>
      <c r="B82" s="16"/>
      <c r="C82" s="16"/>
      <c r="D82" s="16"/>
      <c r="E82" s="16"/>
      <c r="F82" s="16"/>
      <c r="G82" s="16"/>
      <c r="H82" s="13"/>
      <c r="I82" s="19" t="str">
        <f aca="false">IF(G82="","",G82*H82)</f>
        <v/>
      </c>
      <c r="J82" s="22"/>
      <c r="K82" s="16"/>
      <c r="L82" s="16"/>
      <c r="M82" s="19" t="str">
        <f aca="false">IF(D82="","",IFERROR(INDEX(Calculadora!$H$11:$H$50,MATCH(D82,Calculadora!$A$11:$A$50,0)),""))</f>
        <v/>
      </c>
      <c r="N82" s="19" t="str">
        <f aca="false">IF(OR(I82="",M82=""),"",I82-G82*M82)</f>
        <v/>
      </c>
    </row>
    <row r="83" customFormat="false" ht="15" hidden="false" customHeight="false" outlineLevel="0" collapsed="false">
      <c r="A83" s="22"/>
      <c r="B83" s="16"/>
      <c r="C83" s="16"/>
      <c r="D83" s="16"/>
      <c r="E83" s="16"/>
      <c r="F83" s="16"/>
      <c r="G83" s="16"/>
      <c r="H83" s="13"/>
      <c r="I83" s="19" t="str">
        <f aca="false">IF(G83="","",G83*H83)</f>
        <v/>
      </c>
      <c r="J83" s="22"/>
      <c r="K83" s="16"/>
      <c r="L83" s="16"/>
      <c r="M83" s="19" t="str">
        <f aca="false">IF(D83="","",IFERROR(INDEX(Calculadora!$H$11:$H$50,MATCH(D83,Calculadora!$A$11:$A$50,0)),""))</f>
        <v/>
      </c>
      <c r="N83" s="19" t="str">
        <f aca="false">IF(OR(I83="",M83=""),"",I83-G83*M83)</f>
        <v/>
      </c>
    </row>
    <row r="84" customFormat="false" ht="15" hidden="false" customHeight="false" outlineLevel="0" collapsed="false">
      <c r="A84" s="22"/>
      <c r="B84" s="16"/>
      <c r="C84" s="16"/>
      <c r="D84" s="16"/>
      <c r="E84" s="16"/>
      <c r="F84" s="16"/>
      <c r="G84" s="16"/>
      <c r="H84" s="13"/>
      <c r="I84" s="19" t="str">
        <f aca="false">IF(G84="","",G84*H84)</f>
        <v/>
      </c>
      <c r="J84" s="22"/>
      <c r="K84" s="16"/>
      <c r="L84" s="16"/>
      <c r="M84" s="19" t="str">
        <f aca="false">IF(D84="","",IFERROR(INDEX(Calculadora!$H$11:$H$50,MATCH(D84,Calculadora!$A$11:$A$50,0)),""))</f>
        <v/>
      </c>
      <c r="N84" s="19" t="str">
        <f aca="false">IF(OR(I84="",M84=""),"",I84-G84*M84)</f>
        <v/>
      </c>
    </row>
    <row r="85" customFormat="false" ht="15" hidden="false" customHeight="false" outlineLevel="0" collapsed="false">
      <c r="A85" s="22"/>
      <c r="B85" s="16"/>
      <c r="C85" s="16"/>
      <c r="D85" s="16"/>
      <c r="E85" s="16"/>
      <c r="F85" s="16"/>
      <c r="G85" s="16"/>
      <c r="H85" s="13"/>
      <c r="I85" s="19" t="str">
        <f aca="false">IF(G85="","",G85*H85)</f>
        <v/>
      </c>
      <c r="J85" s="22"/>
      <c r="K85" s="16"/>
      <c r="L85" s="16"/>
      <c r="M85" s="19" t="str">
        <f aca="false">IF(D85="","",IFERROR(INDEX(Calculadora!$H$11:$H$50,MATCH(D85,Calculadora!$A$11:$A$50,0)),""))</f>
        <v/>
      </c>
      <c r="N85" s="19" t="str">
        <f aca="false">IF(OR(I85="",M85=""),"",I85-G85*M85)</f>
        <v/>
      </c>
    </row>
    <row r="86" customFormat="false" ht="15" hidden="false" customHeight="false" outlineLevel="0" collapsed="false">
      <c r="A86" s="22"/>
      <c r="B86" s="16"/>
      <c r="C86" s="16"/>
      <c r="D86" s="16"/>
      <c r="E86" s="16"/>
      <c r="F86" s="16"/>
      <c r="G86" s="16"/>
      <c r="H86" s="13"/>
      <c r="I86" s="19" t="str">
        <f aca="false">IF(G86="","",G86*H86)</f>
        <v/>
      </c>
      <c r="J86" s="22"/>
      <c r="K86" s="16"/>
      <c r="L86" s="16"/>
      <c r="M86" s="19" t="str">
        <f aca="false">IF(D86="","",IFERROR(INDEX(Calculadora!$H$11:$H$50,MATCH(D86,Calculadora!$A$11:$A$50,0)),""))</f>
        <v/>
      </c>
      <c r="N86" s="19" t="str">
        <f aca="false">IF(OR(I86="",M86=""),"",I86-G86*M86)</f>
        <v/>
      </c>
    </row>
    <row r="87" customFormat="false" ht="15" hidden="false" customHeight="false" outlineLevel="0" collapsed="false">
      <c r="A87" s="22"/>
      <c r="B87" s="16"/>
      <c r="C87" s="16"/>
      <c r="D87" s="16"/>
      <c r="E87" s="16"/>
      <c r="F87" s="16"/>
      <c r="G87" s="16"/>
      <c r="H87" s="13"/>
      <c r="I87" s="19" t="str">
        <f aca="false">IF(G87="","",G87*H87)</f>
        <v/>
      </c>
      <c r="J87" s="22"/>
      <c r="K87" s="16"/>
      <c r="L87" s="16"/>
      <c r="M87" s="19" t="str">
        <f aca="false">IF(D87="","",IFERROR(INDEX(Calculadora!$H$11:$H$50,MATCH(D87,Calculadora!$A$11:$A$50,0)),""))</f>
        <v/>
      </c>
      <c r="N87" s="19" t="str">
        <f aca="false">IF(OR(I87="",M87=""),"",I87-G87*M87)</f>
        <v/>
      </c>
    </row>
    <row r="88" customFormat="false" ht="15" hidden="false" customHeight="false" outlineLevel="0" collapsed="false">
      <c r="A88" s="22"/>
      <c r="B88" s="16"/>
      <c r="C88" s="16"/>
      <c r="D88" s="16"/>
      <c r="E88" s="16"/>
      <c r="F88" s="16"/>
      <c r="G88" s="16"/>
      <c r="H88" s="13"/>
      <c r="I88" s="19" t="str">
        <f aca="false">IF(G88="","",G88*H88)</f>
        <v/>
      </c>
      <c r="J88" s="22"/>
      <c r="K88" s="16"/>
      <c r="L88" s="16"/>
      <c r="M88" s="19" t="str">
        <f aca="false">IF(D88="","",IFERROR(INDEX(Calculadora!$H$11:$H$50,MATCH(D88,Calculadora!$A$11:$A$50,0)),""))</f>
        <v/>
      </c>
      <c r="N88" s="19" t="str">
        <f aca="false">IF(OR(I88="",M88=""),"",I88-G88*M88)</f>
        <v/>
      </c>
    </row>
    <row r="89" customFormat="false" ht="15" hidden="false" customHeight="false" outlineLevel="0" collapsed="false">
      <c r="A89" s="22"/>
      <c r="B89" s="16"/>
      <c r="C89" s="16"/>
      <c r="D89" s="16"/>
      <c r="E89" s="16"/>
      <c r="F89" s="16"/>
      <c r="G89" s="16"/>
      <c r="H89" s="13"/>
      <c r="I89" s="19" t="str">
        <f aca="false">IF(G89="","",G89*H89)</f>
        <v/>
      </c>
      <c r="J89" s="22"/>
      <c r="K89" s="16"/>
      <c r="L89" s="16"/>
      <c r="M89" s="19" t="str">
        <f aca="false">IF(D89="","",IFERROR(INDEX(Calculadora!$H$11:$H$50,MATCH(D89,Calculadora!$A$11:$A$50,0)),""))</f>
        <v/>
      </c>
      <c r="N89" s="19" t="str">
        <f aca="false">IF(OR(I89="",M89=""),"",I89-G89*M89)</f>
        <v/>
      </c>
    </row>
    <row r="90" customFormat="false" ht="15" hidden="false" customHeight="false" outlineLevel="0" collapsed="false">
      <c r="A90" s="22"/>
      <c r="B90" s="16"/>
      <c r="C90" s="16"/>
      <c r="D90" s="16"/>
      <c r="E90" s="16"/>
      <c r="F90" s="16"/>
      <c r="G90" s="16"/>
      <c r="H90" s="13"/>
      <c r="I90" s="19" t="str">
        <f aca="false">IF(G90="","",G90*H90)</f>
        <v/>
      </c>
      <c r="J90" s="22"/>
      <c r="K90" s="16"/>
      <c r="L90" s="16"/>
      <c r="M90" s="19" t="str">
        <f aca="false">IF(D90="","",IFERROR(INDEX(Calculadora!$H$11:$H$50,MATCH(D90,Calculadora!$A$11:$A$50,0)),""))</f>
        <v/>
      </c>
      <c r="N90" s="19" t="str">
        <f aca="false">IF(OR(I90="",M90=""),"",I90-G90*M90)</f>
        <v/>
      </c>
    </row>
    <row r="91" customFormat="false" ht="15" hidden="false" customHeight="false" outlineLevel="0" collapsed="false">
      <c r="A91" s="22"/>
      <c r="B91" s="16"/>
      <c r="C91" s="16"/>
      <c r="D91" s="16"/>
      <c r="E91" s="16"/>
      <c r="F91" s="16"/>
      <c r="G91" s="16"/>
      <c r="H91" s="13"/>
      <c r="I91" s="19" t="str">
        <f aca="false">IF(G91="","",G91*H91)</f>
        <v/>
      </c>
      <c r="J91" s="22"/>
      <c r="K91" s="16"/>
      <c r="L91" s="16"/>
      <c r="M91" s="19" t="str">
        <f aca="false">IF(D91="","",IFERROR(INDEX(Calculadora!$H$11:$H$50,MATCH(D91,Calculadora!$A$11:$A$50,0)),""))</f>
        <v/>
      </c>
      <c r="N91" s="19" t="str">
        <f aca="false">IF(OR(I91="",M91=""),"",I91-G91*M91)</f>
        <v/>
      </c>
    </row>
    <row r="92" customFormat="false" ht="15" hidden="false" customHeight="false" outlineLevel="0" collapsed="false">
      <c r="A92" s="22"/>
      <c r="B92" s="16"/>
      <c r="C92" s="16"/>
      <c r="D92" s="16"/>
      <c r="E92" s="16"/>
      <c r="F92" s="16"/>
      <c r="G92" s="16"/>
      <c r="H92" s="13"/>
      <c r="I92" s="19" t="str">
        <f aca="false">IF(G92="","",G92*H92)</f>
        <v/>
      </c>
      <c r="J92" s="22"/>
      <c r="K92" s="16"/>
      <c r="L92" s="16"/>
      <c r="M92" s="19" t="str">
        <f aca="false">IF(D92="","",IFERROR(INDEX(Calculadora!$H$11:$H$50,MATCH(D92,Calculadora!$A$11:$A$50,0)),""))</f>
        <v/>
      </c>
      <c r="N92" s="19" t="str">
        <f aca="false">IF(OR(I92="",M92=""),"",I92-G92*M92)</f>
        <v/>
      </c>
    </row>
    <row r="93" customFormat="false" ht="15" hidden="false" customHeight="false" outlineLevel="0" collapsed="false">
      <c r="A93" s="22"/>
      <c r="B93" s="16"/>
      <c r="C93" s="16"/>
      <c r="D93" s="16"/>
      <c r="E93" s="16"/>
      <c r="F93" s="16"/>
      <c r="G93" s="16"/>
      <c r="H93" s="13"/>
      <c r="I93" s="19" t="str">
        <f aca="false">IF(G93="","",G93*H93)</f>
        <v/>
      </c>
      <c r="J93" s="22"/>
      <c r="K93" s="16"/>
      <c r="L93" s="16"/>
      <c r="M93" s="19" t="str">
        <f aca="false">IF(D93="","",IFERROR(INDEX(Calculadora!$H$11:$H$50,MATCH(D93,Calculadora!$A$11:$A$50,0)),""))</f>
        <v/>
      </c>
      <c r="N93" s="19" t="str">
        <f aca="false">IF(OR(I93="",M93=""),"",I93-G93*M93)</f>
        <v/>
      </c>
    </row>
    <row r="94" customFormat="false" ht="15" hidden="false" customHeight="false" outlineLevel="0" collapsed="false">
      <c r="A94" s="22"/>
      <c r="B94" s="16"/>
      <c r="C94" s="16"/>
      <c r="D94" s="16"/>
      <c r="E94" s="16"/>
      <c r="F94" s="16"/>
      <c r="G94" s="16"/>
      <c r="H94" s="13"/>
      <c r="I94" s="19" t="str">
        <f aca="false">IF(G94="","",G94*H94)</f>
        <v/>
      </c>
      <c r="J94" s="22"/>
      <c r="K94" s="16"/>
      <c r="L94" s="16"/>
      <c r="M94" s="19" t="str">
        <f aca="false">IF(D94="","",IFERROR(INDEX(Calculadora!$H$11:$H$50,MATCH(D94,Calculadora!$A$11:$A$50,0)),""))</f>
        <v/>
      </c>
      <c r="N94" s="19" t="str">
        <f aca="false">IF(OR(I94="",M94=""),"",I94-G94*M94)</f>
        <v/>
      </c>
    </row>
    <row r="95" customFormat="false" ht="15" hidden="false" customHeight="false" outlineLevel="0" collapsed="false">
      <c r="A95" s="22"/>
      <c r="B95" s="16"/>
      <c r="C95" s="16"/>
      <c r="D95" s="16"/>
      <c r="E95" s="16"/>
      <c r="F95" s="16"/>
      <c r="G95" s="16"/>
      <c r="H95" s="13"/>
      <c r="I95" s="19" t="str">
        <f aca="false">IF(G95="","",G95*H95)</f>
        <v/>
      </c>
      <c r="J95" s="22"/>
      <c r="K95" s="16"/>
      <c r="L95" s="16"/>
      <c r="M95" s="19" t="str">
        <f aca="false">IF(D95="","",IFERROR(INDEX(Calculadora!$H$11:$H$50,MATCH(D95,Calculadora!$A$11:$A$50,0)),""))</f>
        <v/>
      </c>
      <c r="N95" s="19" t="str">
        <f aca="false">IF(OR(I95="",M95=""),"",I95-G95*M95)</f>
        <v/>
      </c>
    </row>
    <row r="96" customFormat="false" ht="15" hidden="false" customHeight="false" outlineLevel="0" collapsed="false">
      <c r="A96" s="22"/>
      <c r="B96" s="16"/>
      <c r="C96" s="16"/>
      <c r="D96" s="16"/>
      <c r="E96" s="16"/>
      <c r="F96" s="16"/>
      <c r="G96" s="16"/>
      <c r="H96" s="13"/>
      <c r="I96" s="19" t="str">
        <f aca="false">IF(G96="","",G96*H96)</f>
        <v/>
      </c>
      <c r="J96" s="22"/>
      <c r="K96" s="16"/>
      <c r="L96" s="16"/>
      <c r="M96" s="19" t="str">
        <f aca="false">IF(D96="","",IFERROR(INDEX(Calculadora!$H$11:$H$50,MATCH(D96,Calculadora!$A$11:$A$50,0)),""))</f>
        <v/>
      </c>
      <c r="N96" s="19" t="str">
        <f aca="false">IF(OR(I96="",M96=""),"",I96-G96*M96)</f>
        <v/>
      </c>
    </row>
    <row r="97" customFormat="false" ht="15" hidden="false" customHeight="false" outlineLevel="0" collapsed="false">
      <c r="A97" s="22"/>
      <c r="B97" s="16"/>
      <c r="C97" s="16"/>
      <c r="D97" s="16"/>
      <c r="E97" s="16"/>
      <c r="F97" s="16"/>
      <c r="G97" s="16"/>
      <c r="H97" s="13"/>
      <c r="I97" s="19" t="str">
        <f aca="false">IF(G97="","",G97*H97)</f>
        <v/>
      </c>
      <c r="J97" s="22"/>
      <c r="K97" s="16"/>
      <c r="L97" s="16"/>
      <c r="M97" s="19" t="str">
        <f aca="false">IF(D97="","",IFERROR(INDEX(Calculadora!$H$11:$H$50,MATCH(D97,Calculadora!$A$11:$A$50,0)),""))</f>
        <v/>
      </c>
      <c r="N97" s="19" t="str">
        <f aca="false">IF(OR(I97="",M97=""),"",I97-G97*M97)</f>
        <v/>
      </c>
    </row>
    <row r="98" customFormat="false" ht="15" hidden="false" customHeight="false" outlineLevel="0" collapsed="false">
      <c r="A98" s="22"/>
      <c r="B98" s="16"/>
      <c r="C98" s="16"/>
      <c r="D98" s="16"/>
      <c r="E98" s="16"/>
      <c r="F98" s="16"/>
      <c r="G98" s="16"/>
      <c r="H98" s="13"/>
      <c r="I98" s="19" t="str">
        <f aca="false">IF(G98="","",G98*H98)</f>
        <v/>
      </c>
      <c r="J98" s="22"/>
      <c r="K98" s="16"/>
      <c r="L98" s="16"/>
      <c r="M98" s="19" t="str">
        <f aca="false">IF(D98="","",IFERROR(INDEX(Calculadora!$H$11:$H$50,MATCH(D98,Calculadora!$A$11:$A$50,0)),""))</f>
        <v/>
      </c>
      <c r="N98" s="19" t="str">
        <f aca="false">IF(OR(I98="",M98=""),"",I98-G98*M98)</f>
        <v/>
      </c>
    </row>
    <row r="99" customFormat="false" ht="15" hidden="false" customHeight="false" outlineLevel="0" collapsed="false">
      <c r="A99" s="22"/>
      <c r="B99" s="16"/>
      <c r="C99" s="16"/>
      <c r="D99" s="16"/>
      <c r="E99" s="16"/>
      <c r="F99" s="16"/>
      <c r="G99" s="16"/>
      <c r="H99" s="13"/>
      <c r="I99" s="19" t="str">
        <f aca="false">IF(G99="","",G99*H99)</f>
        <v/>
      </c>
      <c r="J99" s="22"/>
      <c r="K99" s="16"/>
      <c r="L99" s="16"/>
      <c r="M99" s="19" t="str">
        <f aca="false">IF(D99="","",IFERROR(INDEX(Calculadora!$H$11:$H$50,MATCH(D99,Calculadora!$A$11:$A$50,0)),""))</f>
        <v/>
      </c>
      <c r="N99" s="19" t="str">
        <f aca="false">IF(OR(I99="",M99=""),"",I99-G99*M99)</f>
        <v/>
      </c>
    </row>
    <row r="100" customFormat="false" ht="15" hidden="false" customHeight="false" outlineLevel="0" collapsed="false">
      <c r="A100" s="22"/>
      <c r="B100" s="16"/>
      <c r="C100" s="16"/>
      <c r="D100" s="16"/>
      <c r="E100" s="16"/>
      <c r="F100" s="16"/>
      <c r="G100" s="16"/>
      <c r="H100" s="13"/>
      <c r="I100" s="19" t="str">
        <f aca="false">IF(G100="","",G100*H100)</f>
        <v/>
      </c>
      <c r="J100" s="22"/>
      <c r="K100" s="16"/>
      <c r="L100" s="16"/>
      <c r="M100" s="19" t="str">
        <f aca="false">IF(D100="","",IFERROR(INDEX(Calculadora!$H$11:$H$50,MATCH(D100,Calculadora!$A$11:$A$50,0)),""))</f>
        <v/>
      </c>
      <c r="N100" s="19" t="str">
        <f aca="false">IF(OR(I100="",M100=""),"",I100-G100*M100)</f>
        <v/>
      </c>
    </row>
    <row r="101" customFormat="false" ht="15" hidden="false" customHeight="false" outlineLevel="0" collapsed="false">
      <c r="A101" s="22"/>
      <c r="B101" s="16"/>
      <c r="C101" s="16"/>
      <c r="D101" s="16"/>
      <c r="E101" s="16"/>
      <c r="F101" s="16"/>
      <c r="G101" s="16"/>
      <c r="H101" s="13"/>
      <c r="I101" s="19" t="str">
        <f aca="false">IF(G101="","",G101*H101)</f>
        <v/>
      </c>
      <c r="J101" s="22"/>
      <c r="K101" s="16"/>
      <c r="L101" s="16"/>
      <c r="M101" s="19" t="str">
        <f aca="false">IF(D101="","",IFERROR(INDEX(Calculadora!$H$11:$H$50,MATCH(D101,Calculadora!$A$11:$A$50,0)),""))</f>
        <v/>
      </c>
      <c r="N101" s="19" t="str">
        <f aca="false">IF(OR(I101="",M101=""),"",I101-G101*M101)</f>
        <v/>
      </c>
    </row>
    <row r="102" customFormat="false" ht="15" hidden="false" customHeight="false" outlineLevel="0" collapsed="false">
      <c r="A102" s="22"/>
      <c r="B102" s="16"/>
      <c r="C102" s="16"/>
      <c r="D102" s="16"/>
      <c r="E102" s="16"/>
      <c r="F102" s="16"/>
      <c r="G102" s="16"/>
      <c r="H102" s="13"/>
      <c r="I102" s="19" t="str">
        <f aca="false">IF(G102="","",G102*H102)</f>
        <v/>
      </c>
      <c r="J102" s="22"/>
      <c r="K102" s="16"/>
      <c r="L102" s="16"/>
      <c r="M102" s="19" t="str">
        <f aca="false">IF(D102="","",IFERROR(INDEX(Calculadora!$H$11:$H$50,MATCH(D102,Calculadora!$A$11:$A$50,0)),""))</f>
        <v/>
      </c>
      <c r="N102" s="19" t="str">
        <f aca="false">IF(OR(I102="",M102=""),"",I102-G102*M102)</f>
        <v/>
      </c>
    </row>
    <row r="103" customFormat="false" ht="15" hidden="false" customHeight="false" outlineLevel="0" collapsed="false">
      <c r="A103" s="22"/>
      <c r="B103" s="16"/>
      <c r="C103" s="16"/>
      <c r="D103" s="16"/>
      <c r="E103" s="16"/>
      <c r="F103" s="16"/>
      <c r="G103" s="16"/>
      <c r="H103" s="13"/>
      <c r="I103" s="19" t="str">
        <f aca="false">IF(G103="","",G103*H103)</f>
        <v/>
      </c>
      <c r="J103" s="22"/>
      <c r="K103" s="16"/>
      <c r="L103" s="16"/>
      <c r="M103" s="19" t="str">
        <f aca="false">IF(D103="","",IFERROR(INDEX(Calculadora!$H$11:$H$50,MATCH(D103,Calculadora!$A$11:$A$50,0)),""))</f>
        <v/>
      </c>
      <c r="N103" s="19" t="str">
        <f aca="false">IF(OR(I103="",M103=""),"",I103-G103*M103)</f>
        <v/>
      </c>
    </row>
    <row r="104" customFormat="false" ht="15" hidden="false" customHeight="false" outlineLevel="0" collapsed="false">
      <c r="A104" s="22"/>
      <c r="B104" s="16"/>
      <c r="C104" s="16"/>
      <c r="D104" s="16"/>
      <c r="E104" s="16"/>
      <c r="F104" s="16"/>
      <c r="G104" s="16"/>
      <c r="H104" s="13"/>
      <c r="I104" s="19" t="str">
        <f aca="false">IF(G104="","",G104*H104)</f>
        <v/>
      </c>
      <c r="J104" s="22"/>
      <c r="K104" s="16"/>
      <c r="L104" s="16"/>
      <c r="M104" s="19" t="str">
        <f aca="false">IF(D104="","",IFERROR(INDEX(Calculadora!$H$11:$H$50,MATCH(D104,Calculadora!$A$11:$A$50,0)),""))</f>
        <v/>
      </c>
      <c r="N104" s="19" t="str">
        <f aca="false">IF(OR(I104="",M104=""),"",I104-G104*M104)</f>
        <v/>
      </c>
    </row>
    <row r="105" customFormat="false" ht="15" hidden="false" customHeight="false" outlineLevel="0" collapsed="false">
      <c r="A105" s="22"/>
      <c r="B105" s="16"/>
      <c r="C105" s="16"/>
      <c r="D105" s="16"/>
      <c r="E105" s="16"/>
      <c r="F105" s="16"/>
      <c r="G105" s="16"/>
      <c r="H105" s="13"/>
      <c r="I105" s="19" t="str">
        <f aca="false">IF(G105="","",G105*H105)</f>
        <v/>
      </c>
      <c r="J105" s="22"/>
      <c r="K105" s="16"/>
      <c r="L105" s="16"/>
      <c r="M105" s="19" t="str">
        <f aca="false">IF(D105="","",IFERROR(INDEX(Calculadora!$H$11:$H$50,MATCH(D105,Calculadora!$A$11:$A$50,0)),""))</f>
        <v/>
      </c>
      <c r="N105" s="19" t="str">
        <f aca="false">IF(OR(I105="",M105=""),"",I105-G105*M105)</f>
        <v/>
      </c>
    </row>
    <row r="106" customFormat="false" ht="15" hidden="false" customHeight="false" outlineLevel="0" collapsed="false">
      <c r="A106" s="22"/>
      <c r="B106" s="16"/>
      <c r="C106" s="16"/>
      <c r="D106" s="16"/>
      <c r="E106" s="16"/>
      <c r="F106" s="16"/>
      <c r="G106" s="16"/>
      <c r="H106" s="13"/>
      <c r="I106" s="19" t="str">
        <f aca="false">IF(G106="","",G106*H106)</f>
        <v/>
      </c>
      <c r="J106" s="22"/>
      <c r="K106" s="16"/>
      <c r="L106" s="16"/>
      <c r="M106" s="19" t="str">
        <f aca="false">IF(D106="","",IFERROR(INDEX(Calculadora!$H$11:$H$50,MATCH(D106,Calculadora!$A$11:$A$50,0)),""))</f>
        <v/>
      </c>
      <c r="N106" s="19" t="str">
        <f aca="false">IF(OR(I106="",M106=""),"",I106-G106*M106)</f>
        <v/>
      </c>
    </row>
    <row r="107" customFormat="false" ht="15" hidden="false" customHeight="false" outlineLevel="0" collapsed="false">
      <c r="A107" s="22"/>
      <c r="B107" s="16"/>
      <c r="C107" s="16"/>
      <c r="D107" s="16"/>
      <c r="E107" s="16"/>
      <c r="F107" s="16"/>
      <c r="G107" s="16"/>
      <c r="H107" s="13"/>
      <c r="I107" s="19" t="str">
        <f aca="false">IF(G107="","",G107*H107)</f>
        <v/>
      </c>
      <c r="J107" s="22"/>
      <c r="K107" s="16"/>
      <c r="L107" s="16"/>
      <c r="M107" s="19" t="str">
        <f aca="false">IF(D107="","",IFERROR(INDEX(Calculadora!$H$11:$H$50,MATCH(D107,Calculadora!$A$11:$A$50,0)),""))</f>
        <v/>
      </c>
      <c r="N107" s="19" t="str">
        <f aca="false">IF(OR(I107="",M107=""),"",I107-G107*M107)</f>
        <v/>
      </c>
    </row>
    <row r="108" customFormat="false" ht="15" hidden="false" customHeight="false" outlineLevel="0" collapsed="false">
      <c r="A108" s="22"/>
      <c r="B108" s="16"/>
      <c r="C108" s="16"/>
      <c r="D108" s="16"/>
      <c r="E108" s="16"/>
      <c r="F108" s="16"/>
      <c r="G108" s="16"/>
      <c r="H108" s="13"/>
      <c r="I108" s="19" t="str">
        <f aca="false">IF(G108="","",G108*H108)</f>
        <v/>
      </c>
      <c r="J108" s="22"/>
      <c r="K108" s="16"/>
      <c r="L108" s="16"/>
      <c r="M108" s="19" t="str">
        <f aca="false">IF(D108="","",IFERROR(INDEX(Calculadora!$H$11:$H$50,MATCH(D108,Calculadora!$A$11:$A$50,0)),""))</f>
        <v/>
      </c>
      <c r="N108" s="19" t="str">
        <f aca="false">IF(OR(I108="",M108=""),"",I108-G108*M108)</f>
        <v/>
      </c>
    </row>
    <row r="109" customFormat="false" ht="15" hidden="false" customHeight="false" outlineLevel="0" collapsed="false">
      <c r="A109" s="22"/>
      <c r="B109" s="16"/>
      <c r="C109" s="16"/>
      <c r="D109" s="16"/>
      <c r="E109" s="16"/>
      <c r="F109" s="16"/>
      <c r="G109" s="16"/>
      <c r="H109" s="13"/>
      <c r="I109" s="19" t="str">
        <f aca="false">IF(G109="","",G109*H109)</f>
        <v/>
      </c>
      <c r="J109" s="22"/>
      <c r="K109" s="16"/>
      <c r="L109" s="16"/>
      <c r="M109" s="19" t="str">
        <f aca="false">IF(D109="","",IFERROR(INDEX(Calculadora!$H$11:$H$50,MATCH(D109,Calculadora!$A$11:$A$50,0)),""))</f>
        <v/>
      </c>
      <c r="N109" s="19" t="str">
        <f aca="false">IF(OR(I109="",M109=""),"",I109-G109*M109)</f>
        <v/>
      </c>
    </row>
    <row r="110" customFormat="false" ht="15" hidden="false" customHeight="false" outlineLevel="0" collapsed="false">
      <c r="A110" s="22"/>
      <c r="B110" s="16"/>
      <c r="C110" s="16"/>
      <c r="D110" s="16"/>
      <c r="E110" s="16"/>
      <c r="F110" s="16"/>
      <c r="G110" s="16"/>
      <c r="H110" s="13"/>
      <c r="I110" s="19" t="str">
        <f aca="false">IF(G110="","",G110*H110)</f>
        <v/>
      </c>
      <c r="J110" s="22"/>
      <c r="K110" s="16"/>
      <c r="L110" s="16"/>
      <c r="M110" s="19" t="str">
        <f aca="false">IF(D110="","",IFERROR(INDEX(Calculadora!$H$11:$H$50,MATCH(D110,Calculadora!$A$11:$A$50,0)),""))</f>
        <v/>
      </c>
      <c r="N110" s="19" t="str">
        <f aca="false">IF(OR(I110="",M110=""),"",I110-G110*M110)</f>
        <v/>
      </c>
    </row>
    <row r="111" customFormat="false" ht="15" hidden="false" customHeight="false" outlineLevel="0" collapsed="false">
      <c r="A111" s="22"/>
      <c r="B111" s="16"/>
      <c r="C111" s="16"/>
      <c r="D111" s="16"/>
      <c r="E111" s="16"/>
      <c r="F111" s="16"/>
      <c r="G111" s="16"/>
      <c r="H111" s="13"/>
      <c r="I111" s="19" t="str">
        <f aca="false">IF(G111="","",G111*H111)</f>
        <v/>
      </c>
      <c r="J111" s="22"/>
      <c r="K111" s="16"/>
      <c r="L111" s="16"/>
      <c r="M111" s="19" t="str">
        <f aca="false">IF(D111="","",IFERROR(INDEX(Calculadora!$H$11:$H$50,MATCH(D111,Calculadora!$A$11:$A$50,0)),""))</f>
        <v/>
      </c>
      <c r="N111" s="19" t="str">
        <f aca="false">IF(OR(I111="",M111=""),"",I111-G111*M111)</f>
        <v/>
      </c>
    </row>
    <row r="112" customFormat="false" ht="15" hidden="false" customHeight="false" outlineLevel="0" collapsed="false">
      <c r="A112" s="22"/>
      <c r="B112" s="16"/>
      <c r="C112" s="16"/>
      <c r="D112" s="16"/>
      <c r="E112" s="16"/>
      <c r="F112" s="16"/>
      <c r="G112" s="16"/>
      <c r="H112" s="13"/>
      <c r="I112" s="19" t="str">
        <f aca="false">IF(G112="","",G112*H112)</f>
        <v/>
      </c>
      <c r="J112" s="22"/>
      <c r="K112" s="16"/>
      <c r="L112" s="16"/>
      <c r="M112" s="19" t="str">
        <f aca="false">IF(D112="","",IFERROR(INDEX(Calculadora!$H$11:$H$50,MATCH(D112,Calculadora!$A$11:$A$50,0)),""))</f>
        <v/>
      </c>
      <c r="N112" s="19" t="str">
        <f aca="false">IF(OR(I112="",M112=""),"",I112-G112*M112)</f>
        <v/>
      </c>
    </row>
    <row r="113" customFormat="false" ht="15" hidden="false" customHeight="false" outlineLevel="0" collapsed="false">
      <c r="A113" s="22"/>
      <c r="B113" s="16"/>
      <c r="C113" s="16"/>
      <c r="D113" s="16"/>
      <c r="E113" s="16"/>
      <c r="F113" s="16"/>
      <c r="G113" s="16"/>
      <c r="H113" s="13"/>
      <c r="I113" s="19" t="str">
        <f aca="false">IF(G113="","",G113*H113)</f>
        <v/>
      </c>
      <c r="J113" s="22"/>
      <c r="K113" s="16"/>
      <c r="L113" s="16"/>
      <c r="M113" s="19" t="str">
        <f aca="false">IF(D113="","",IFERROR(INDEX(Calculadora!$H$11:$H$50,MATCH(D113,Calculadora!$A$11:$A$50,0)),""))</f>
        <v/>
      </c>
      <c r="N113" s="19" t="str">
        <f aca="false">IF(OR(I113="",M113=""),"",I113-G113*M113)</f>
        <v/>
      </c>
    </row>
    <row r="114" customFormat="false" ht="15" hidden="false" customHeight="false" outlineLevel="0" collapsed="false">
      <c r="A114" s="22"/>
      <c r="B114" s="16"/>
      <c r="C114" s="16"/>
      <c r="D114" s="16"/>
      <c r="E114" s="16"/>
      <c r="F114" s="16"/>
      <c r="G114" s="16"/>
      <c r="H114" s="13"/>
      <c r="I114" s="19" t="str">
        <f aca="false">IF(G114="","",G114*H114)</f>
        <v/>
      </c>
      <c r="J114" s="22"/>
      <c r="K114" s="16"/>
      <c r="L114" s="16"/>
      <c r="M114" s="19" t="str">
        <f aca="false">IF(D114="","",IFERROR(INDEX(Calculadora!$H$11:$H$50,MATCH(D114,Calculadora!$A$11:$A$50,0)),""))</f>
        <v/>
      </c>
      <c r="N114" s="19" t="str">
        <f aca="false">IF(OR(I114="",M114=""),"",I114-G114*M114)</f>
        <v/>
      </c>
    </row>
    <row r="115" customFormat="false" ht="15" hidden="false" customHeight="false" outlineLevel="0" collapsed="false">
      <c r="A115" s="22"/>
      <c r="B115" s="16"/>
      <c r="C115" s="16"/>
      <c r="D115" s="16"/>
      <c r="E115" s="16"/>
      <c r="F115" s="16"/>
      <c r="G115" s="16"/>
      <c r="H115" s="13"/>
      <c r="I115" s="19" t="str">
        <f aca="false">IF(G115="","",G115*H115)</f>
        <v/>
      </c>
      <c r="J115" s="22"/>
      <c r="K115" s="16"/>
      <c r="L115" s="16"/>
      <c r="M115" s="19" t="str">
        <f aca="false">IF(D115="","",IFERROR(INDEX(Calculadora!$H$11:$H$50,MATCH(D115,Calculadora!$A$11:$A$50,0)),""))</f>
        <v/>
      </c>
      <c r="N115" s="19" t="str">
        <f aca="false">IF(OR(I115="",M115=""),"",I115-G115*M115)</f>
        <v/>
      </c>
    </row>
    <row r="116" customFormat="false" ht="15" hidden="false" customHeight="false" outlineLevel="0" collapsed="false">
      <c r="A116" s="22"/>
      <c r="B116" s="16"/>
      <c r="C116" s="16"/>
      <c r="D116" s="16"/>
      <c r="E116" s="16"/>
      <c r="F116" s="16"/>
      <c r="G116" s="16"/>
      <c r="H116" s="13"/>
      <c r="I116" s="19" t="str">
        <f aca="false">IF(G116="","",G116*H116)</f>
        <v/>
      </c>
      <c r="J116" s="22"/>
      <c r="K116" s="16"/>
      <c r="L116" s="16"/>
      <c r="M116" s="19" t="str">
        <f aca="false">IF(D116="","",IFERROR(INDEX(Calculadora!$H$11:$H$50,MATCH(D116,Calculadora!$A$11:$A$50,0)),""))</f>
        <v/>
      </c>
      <c r="N116" s="19" t="str">
        <f aca="false">IF(OR(I116="",M116=""),"",I116-G116*M116)</f>
        <v/>
      </c>
    </row>
    <row r="117" customFormat="false" ht="15" hidden="false" customHeight="false" outlineLevel="0" collapsed="false">
      <c r="A117" s="22"/>
      <c r="B117" s="16"/>
      <c r="C117" s="16"/>
      <c r="D117" s="16"/>
      <c r="E117" s="16"/>
      <c r="F117" s="16"/>
      <c r="G117" s="16"/>
      <c r="H117" s="13"/>
      <c r="I117" s="19" t="str">
        <f aca="false">IF(G117="","",G117*H117)</f>
        <v/>
      </c>
      <c r="J117" s="22"/>
      <c r="K117" s="16"/>
      <c r="L117" s="16"/>
      <c r="M117" s="19" t="str">
        <f aca="false">IF(D117="","",IFERROR(INDEX(Calculadora!$H$11:$H$50,MATCH(D117,Calculadora!$A$11:$A$50,0)),""))</f>
        <v/>
      </c>
      <c r="N117" s="19" t="str">
        <f aca="false">IF(OR(I117="",M117=""),"",I117-G117*M117)</f>
        <v/>
      </c>
    </row>
    <row r="118" customFormat="false" ht="15" hidden="false" customHeight="false" outlineLevel="0" collapsed="false">
      <c r="A118" s="22"/>
      <c r="B118" s="16"/>
      <c r="C118" s="16"/>
      <c r="D118" s="16"/>
      <c r="E118" s="16"/>
      <c r="F118" s="16"/>
      <c r="G118" s="16"/>
      <c r="H118" s="13"/>
      <c r="I118" s="19" t="str">
        <f aca="false">IF(G118="","",G118*H118)</f>
        <v/>
      </c>
      <c r="J118" s="22"/>
      <c r="K118" s="16"/>
      <c r="L118" s="16"/>
      <c r="M118" s="19" t="str">
        <f aca="false">IF(D118="","",IFERROR(INDEX(Calculadora!$H$11:$H$50,MATCH(D118,Calculadora!$A$11:$A$50,0)),""))</f>
        <v/>
      </c>
      <c r="N118" s="19" t="str">
        <f aca="false">IF(OR(I118="",M118=""),"",I118-G118*M118)</f>
        <v/>
      </c>
    </row>
    <row r="119" customFormat="false" ht="15" hidden="false" customHeight="false" outlineLevel="0" collapsed="false">
      <c r="A119" s="22"/>
      <c r="B119" s="16"/>
      <c r="C119" s="16"/>
      <c r="D119" s="16"/>
      <c r="E119" s="16"/>
      <c r="F119" s="16"/>
      <c r="G119" s="16"/>
      <c r="H119" s="13"/>
      <c r="I119" s="19" t="str">
        <f aca="false">IF(G119="","",G119*H119)</f>
        <v/>
      </c>
      <c r="J119" s="22"/>
      <c r="K119" s="16"/>
      <c r="L119" s="16"/>
      <c r="M119" s="19" t="str">
        <f aca="false">IF(D119="","",IFERROR(INDEX(Calculadora!$H$11:$H$50,MATCH(D119,Calculadora!$A$11:$A$50,0)),""))</f>
        <v/>
      </c>
      <c r="N119" s="19" t="str">
        <f aca="false">IF(OR(I119="",M119=""),"",I119-G119*M119)</f>
        <v/>
      </c>
    </row>
    <row r="120" customFormat="false" ht="15" hidden="false" customHeight="false" outlineLevel="0" collapsed="false">
      <c r="A120" s="22"/>
      <c r="B120" s="16"/>
      <c r="C120" s="16"/>
      <c r="D120" s="16"/>
      <c r="E120" s="16"/>
      <c r="F120" s="16"/>
      <c r="G120" s="16"/>
      <c r="H120" s="13"/>
      <c r="I120" s="19" t="str">
        <f aca="false">IF(G120="","",G120*H120)</f>
        <v/>
      </c>
      <c r="J120" s="22"/>
      <c r="K120" s="16"/>
      <c r="L120" s="16"/>
      <c r="M120" s="19" t="str">
        <f aca="false">IF(D120="","",IFERROR(INDEX(Calculadora!$H$11:$H$50,MATCH(D120,Calculadora!$A$11:$A$50,0)),""))</f>
        <v/>
      </c>
      <c r="N120" s="19" t="str">
        <f aca="false">IF(OR(I120="",M120=""),"",I120-G120*M120)</f>
        <v/>
      </c>
    </row>
    <row r="121" customFormat="false" ht="15" hidden="false" customHeight="false" outlineLevel="0" collapsed="false">
      <c r="A121" s="22"/>
      <c r="B121" s="16"/>
      <c r="C121" s="16"/>
      <c r="D121" s="16"/>
      <c r="E121" s="16"/>
      <c r="F121" s="16"/>
      <c r="G121" s="16"/>
      <c r="H121" s="13"/>
      <c r="I121" s="19" t="str">
        <f aca="false">IF(G121="","",G121*H121)</f>
        <v/>
      </c>
      <c r="J121" s="22"/>
      <c r="K121" s="16"/>
      <c r="L121" s="16"/>
      <c r="M121" s="19" t="str">
        <f aca="false">IF(D121="","",IFERROR(INDEX(Calculadora!$H$11:$H$50,MATCH(D121,Calculadora!$A$11:$A$50,0)),""))</f>
        <v/>
      </c>
      <c r="N121" s="19" t="str">
        <f aca="false">IF(OR(I121="",M121=""),"",I121-G121*M121)</f>
        <v/>
      </c>
    </row>
    <row r="122" customFormat="false" ht="15" hidden="false" customHeight="false" outlineLevel="0" collapsed="false">
      <c r="A122" s="22"/>
      <c r="B122" s="16"/>
      <c r="C122" s="16"/>
      <c r="D122" s="16"/>
      <c r="E122" s="16"/>
      <c r="F122" s="16"/>
      <c r="G122" s="16"/>
      <c r="H122" s="13"/>
      <c r="I122" s="19" t="str">
        <f aca="false">IF(G122="","",G122*H122)</f>
        <v/>
      </c>
      <c r="J122" s="22"/>
      <c r="K122" s="16"/>
      <c r="L122" s="16"/>
      <c r="M122" s="19" t="str">
        <f aca="false">IF(D122="","",IFERROR(INDEX(Calculadora!$H$11:$H$50,MATCH(D122,Calculadora!$A$11:$A$50,0)),""))</f>
        <v/>
      </c>
      <c r="N122" s="19" t="str">
        <f aca="false">IF(OR(I122="",M122=""),"",I122-G122*M122)</f>
        <v/>
      </c>
    </row>
    <row r="123" customFormat="false" ht="15" hidden="false" customHeight="false" outlineLevel="0" collapsed="false">
      <c r="A123" s="22"/>
      <c r="B123" s="16"/>
      <c r="C123" s="16"/>
      <c r="D123" s="16"/>
      <c r="E123" s="16"/>
      <c r="F123" s="16"/>
      <c r="G123" s="16"/>
      <c r="H123" s="13"/>
      <c r="I123" s="19" t="str">
        <f aca="false">IF(G123="","",G123*H123)</f>
        <v/>
      </c>
      <c r="J123" s="22"/>
      <c r="K123" s="16"/>
      <c r="L123" s="16"/>
      <c r="M123" s="19" t="str">
        <f aca="false">IF(D123="","",IFERROR(INDEX(Calculadora!$H$11:$H$50,MATCH(D123,Calculadora!$A$11:$A$50,0)),""))</f>
        <v/>
      </c>
      <c r="N123" s="19" t="str">
        <f aca="false">IF(OR(I123="",M123=""),"",I123-G123*M123)</f>
        <v/>
      </c>
    </row>
    <row r="124" customFormat="false" ht="15" hidden="false" customHeight="false" outlineLevel="0" collapsed="false">
      <c r="A124" s="22"/>
      <c r="B124" s="16"/>
      <c r="C124" s="16"/>
      <c r="D124" s="16"/>
      <c r="E124" s="16"/>
      <c r="F124" s="16"/>
      <c r="G124" s="16"/>
      <c r="H124" s="13"/>
      <c r="I124" s="19" t="str">
        <f aca="false">IF(G124="","",G124*H124)</f>
        <v/>
      </c>
      <c r="J124" s="22"/>
      <c r="K124" s="16"/>
      <c r="L124" s="16"/>
      <c r="M124" s="19" t="str">
        <f aca="false">IF(D124="","",IFERROR(INDEX(Calculadora!$H$11:$H$50,MATCH(D124,Calculadora!$A$11:$A$50,0)),""))</f>
        <v/>
      </c>
      <c r="N124" s="19" t="str">
        <f aca="false">IF(OR(I124="",M124=""),"",I124-G124*M124)</f>
        <v/>
      </c>
    </row>
    <row r="125" customFormat="false" ht="15" hidden="false" customHeight="false" outlineLevel="0" collapsed="false">
      <c r="A125" s="22"/>
      <c r="B125" s="16"/>
      <c r="C125" s="16"/>
      <c r="D125" s="16"/>
      <c r="E125" s="16"/>
      <c r="F125" s="16"/>
      <c r="G125" s="16"/>
      <c r="H125" s="13"/>
      <c r="I125" s="19" t="str">
        <f aca="false">IF(G125="","",G125*H125)</f>
        <v/>
      </c>
      <c r="J125" s="22"/>
      <c r="K125" s="16"/>
      <c r="L125" s="16"/>
      <c r="M125" s="19" t="str">
        <f aca="false">IF(D125="","",IFERROR(INDEX(Calculadora!$H$11:$H$50,MATCH(D125,Calculadora!$A$11:$A$50,0)),""))</f>
        <v/>
      </c>
      <c r="N125" s="19" t="str">
        <f aca="false">IF(OR(I125="",M125=""),"",I125-G125*M125)</f>
        <v/>
      </c>
    </row>
    <row r="126" customFormat="false" ht="15" hidden="false" customHeight="false" outlineLevel="0" collapsed="false">
      <c r="A126" s="22"/>
      <c r="B126" s="16"/>
      <c r="C126" s="16"/>
      <c r="D126" s="16"/>
      <c r="E126" s="16"/>
      <c r="F126" s="16"/>
      <c r="G126" s="16"/>
      <c r="H126" s="13"/>
      <c r="I126" s="19" t="str">
        <f aca="false">IF(G126="","",G126*H126)</f>
        <v/>
      </c>
      <c r="J126" s="22"/>
      <c r="K126" s="16"/>
      <c r="L126" s="16"/>
      <c r="M126" s="19" t="str">
        <f aca="false">IF(D126="","",IFERROR(INDEX(Calculadora!$H$11:$H$50,MATCH(D126,Calculadora!$A$11:$A$50,0)),""))</f>
        <v/>
      </c>
      <c r="N126" s="19" t="str">
        <f aca="false">IF(OR(I126="",M126=""),"",I126-G126*M126)</f>
        <v/>
      </c>
    </row>
    <row r="127" customFormat="false" ht="15" hidden="false" customHeight="false" outlineLevel="0" collapsed="false">
      <c r="A127" s="22"/>
      <c r="B127" s="16"/>
      <c r="C127" s="16"/>
      <c r="D127" s="16"/>
      <c r="E127" s="16"/>
      <c r="F127" s="16"/>
      <c r="G127" s="16"/>
      <c r="H127" s="13"/>
      <c r="I127" s="19" t="str">
        <f aca="false">IF(G127="","",G127*H127)</f>
        <v/>
      </c>
      <c r="J127" s="22"/>
      <c r="K127" s="16"/>
      <c r="L127" s="16"/>
      <c r="M127" s="19" t="str">
        <f aca="false">IF(D127="","",IFERROR(INDEX(Calculadora!$H$11:$H$50,MATCH(D127,Calculadora!$A$11:$A$50,0)),""))</f>
        <v/>
      </c>
      <c r="N127" s="19" t="str">
        <f aca="false">IF(OR(I127="",M127=""),"",I127-G127*M127)</f>
        <v/>
      </c>
    </row>
    <row r="128" customFormat="false" ht="15" hidden="false" customHeight="false" outlineLevel="0" collapsed="false">
      <c r="A128" s="22"/>
      <c r="B128" s="16"/>
      <c r="C128" s="16"/>
      <c r="D128" s="16"/>
      <c r="E128" s="16"/>
      <c r="F128" s="16"/>
      <c r="G128" s="16"/>
      <c r="H128" s="13"/>
      <c r="I128" s="19" t="str">
        <f aca="false">IF(G128="","",G128*H128)</f>
        <v/>
      </c>
      <c r="J128" s="22"/>
      <c r="K128" s="16"/>
      <c r="L128" s="16"/>
      <c r="M128" s="19" t="str">
        <f aca="false">IF(D128="","",IFERROR(INDEX(Calculadora!$H$11:$H$50,MATCH(D128,Calculadora!$A$11:$A$50,0)),""))</f>
        <v/>
      </c>
      <c r="N128" s="19" t="str">
        <f aca="false">IF(OR(I128="",M128=""),"",I128-G128*M128)</f>
        <v/>
      </c>
    </row>
    <row r="129" customFormat="false" ht="15" hidden="false" customHeight="false" outlineLevel="0" collapsed="false">
      <c r="A129" s="22"/>
      <c r="B129" s="16"/>
      <c r="C129" s="16"/>
      <c r="D129" s="16"/>
      <c r="E129" s="16"/>
      <c r="F129" s="16"/>
      <c r="G129" s="16"/>
      <c r="H129" s="13"/>
      <c r="I129" s="19" t="str">
        <f aca="false">IF(G129="","",G129*H129)</f>
        <v/>
      </c>
      <c r="J129" s="22"/>
      <c r="K129" s="16"/>
      <c r="L129" s="16"/>
      <c r="M129" s="19" t="str">
        <f aca="false">IF(D129="","",IFERROR(INDEX(Calculadora!$H$11:$H$50,MATCH(D129,Calculadora!$A$11:$A$50,0)),""))</f>
        <v/>
      </c>
      <c r="N129" s="19" t="str">
        <f aca="false">IF(OR(I129="",M129=""),"",I129-G129*M129)</f>
        <v/>
      </c>
    </row>
    <row r="130" customFormat="false" ht="15" hidden="false" customHeight="false" outlineLevel="0" collapsed="false">
      <c r="A130" s="22"/>
      <c r="B130" s="16"/>
      <c r="C130" s="16"/>
      <c r="D130" s="16"/>
      <c r="E130" s="16"/>
      <c r="F130" s="16"/>
      <c r="G130" s="16"/>
      <c r="H130" s="13"/>
      <c r="I130" s="19" t="str">
        <f aca="false">IF(G130="","",G130*H130)</f>
        <v/>
      </c>
      <c r="J130" s="22"/>
      <c r="K130" s="16"/>
      <c r="L130" s="16"/>
      <c r="M130" s="19" t="str">
        <f aca="false">IF(D130="","",IFERROR(INDEX(Calculadora!$H$11:$H$50,MATCH(D130,Calculadora!$A$11:$A$50,0)),""))</f>
        <v/>
      </c>
      <c r="N130" s="19" t="str">
        <f aca="false">IF(OR(I130="",M130=""),"",I130-G130*M130)</f>
        <v/>
      </c>
    </row>
    <row r="131" customFormat="false" ht="15" hidden="false" customHeight="false" outlineLevel="0" collapsed="false">
      <c r="A131" s="22"/>
      <c r="B131" s="16"/>
      <c r="C131" s="16"/>
      <c r="D131" s="16"/>
      <c r="E131" s="16"/>
      <c r="F131" s="16"/>
      <c r="G131" s="16"/>
      <c r="H131" s="13"/>
      <c r="I131" s="19" t="str">
        <f aca="false">IF(G131="","",G131*H131)</f>
        <v/>
      </c>
      <c r="J131" s="22"/>
      <c r="K131" s="16"/>
      <c r="L131" s="16"/>
      <c r="M131" s="19" t="str">
        <f aca="false">IF(D131="","",IFERROR(INDEX(Calculadora!$H$11:$H$50,MATCH(D131,Calculadora!$A$11:$A$50,0)),""))</f>
        <v/>
      </c>
      <c r="N131" s="19" t="str">
        <f aca="false">IF(OR(I131="",M131=""),"",I131-G131*M131)</f>
        <v/>
      </c>
    </row>
    <row r="132" customFormat="false" ht="15" hidden="false" customHeight="false" outlineLevel="0" collapsed="false">
      <c r="A132" s="22"/>
      <c r="B132" s="16"/>
      <c r="C132" s="16"/>
      <c r="D132" s="16"/>
      <c r="E132" s="16"/>
      <c r="F132" s="16"/>
      <c r="G132" s="16"/>
      <c r="H132" s="13"/>
      <c r="I132" s="19" t="str">
        <f aca="false">IF(G132="","",G132*H132)</f>
        <v/>
      </c>
      <c r="J132" s="22"/>
      <c r="K132" s="16"/>
      <c r="L132" s="16"/>
      <c r="M132" s="19" t="str">
        <f aca="false">IF(D132="","",IFERROR(INDEX(Calculadora!$H$11:$H$50,MATCH(D132,Calculadora!$A$11:$A$50,0)),""))</f>
        <v/>
      </c>
      <c r="N132" s="19" t="str">
        <f aca="false">IF(OR(I132="",M132=""),"",I132-G132*M132)</f>
        <v/>
      </c>
    </row>
    <row r="133" customFormat="false" ht="15" hidden="false" customHeight="false" outlineLevel="0" collapsed="false">
      <c r="A133" s="22"/>
      <c r="B133" s="16"/>
      <c r="C133" s="16"/>
      <c r="D133" s="16"/>
      <c r="E133" s="16"/>
      <c r="F133" s="16"/>
      <c r="G133" s="16"/>
      <c r="H133" s="13"/>
      <c r="I133" s="19" t="str">
        <f aca="false">IF(G133="","",G133*H133)</f>
        <v/>
      </c>
      <c r="J133" s="22"/>
      <c r="K133" s="16"/>
      <c r="L133" s="16"/>
      <c r="M133" s="19" t="str">
        <f aca="false">IF(D133="","",IFERROR(INDEX(Calculadora!$H$11:$H$50,MATCH(D133,Calculadora!$A$11:$A$50,0)),""))</f>
        <v/>
      </c>
      <c r="N133" s="19" t="str">
        <f aca="false">IF(OR(I133="",M133=""),"",I133-G133*M133)</f>
        <v/>
      </c>
    </row>
    <row r="134" customFormat="false" ht="15" hidden="false" customHeight="false" outlineLevel="0" collapsed="false">
      <c r="A134" s="22"/>
      <c r="B134" s="16"/>
      <c r="C134" s="16"/>
      <c r="D134" s="16"/>
      <c r="E134" s="16"/>
      <c r="F134" s="16"/>
      <c r="G134" s="16"/>
      <c r="H134" s="13"/>
      <c r="I134" s="19" t="str">
        <f aca="false">IF(G134="","",G134*H134)</f>
        <v/>
      </c>
      <c r="J134" s="22"/>
      <c r="K134" s="16"/>
      <c r="L134" s="16"/>
      <c r="M134" s="19" t="str">
        <f aca="false">IF(D134="","",IFERROR(INDEX(Calculadora!$H$11:$H$50,MATCH(D134,Calculadora!$A$11:$A$50,0)),""))</f>
        <v/>
      </c>
      <c r="N134" s="19" t="str">
        <f aca="false">IF(OR(I134="",M134=""),"",I134-G134*M134)</f>
        <v/>
      </c>
    </row>
    <row r="135" customFormat="false" ht="15" hidden="false" customHeight="false" outlineLevel="0" collapsed="false">
      <c r="A135" s="22"/>
      <c r="B135" s="16"/>
      <c r="C135" s="16"/>
      <c r="D135" s="16"/>
      <c r="E135" s="16"/>
      <c r="F135" s="16"/>
      <c r="G135" s="16"/>
      <c r="H135" s="13"/>
      <c r="I135" s="19" t="str">
        <f aca="false">IF(G135="","",G135*H135)</f>
        <v/>
      </c>
      <c r="J135" s="22"/>
      <c r="K135" s="16"/>
      <c r="L135" s="16"/>
      <c r="M135" s="19" t="str">
        <f aca="false">IF(D135="","",IFERROR(INDEX(Calculadora!$H$11:$H$50,MATCH(D135,Calculadora!$A$11:$A$50,0)),""))</f>
        <v/>
      </c>
      <c r="N135" s="19" t="str">
        <f aca="false">IF(OR(I135="",M135=""),"",I135-G135*M135)</f>
        <v/>
      </c>
    </row>
    <row r="136" customFormat="false" ht="15" hidden="false" customHeight="false" outlineLevel="0" collapsed="false">
      <c r="A136" s="22"/>
      <c r="B136" s="16"/>
      <c r="C136" s="16"/>
      <c r="D136" s="16"/>
      <c r="E136" s="16"/>
      <c r="F136" s="16"/>
      <c r="G136" s="16"/>
      <c r="H136" s="13"/>
      <c r="I136" s="19" t="str">
        <f aca="false">IF(G136="","",G136*H136)</f>
        <v/>
      </c>
      <c r="J136" s="22"/>
      <c r="K136" s="16"/>
      <c r="L136" s="16"/>
      <c r="M136" s="19" t="str">
        <f aca="false">IF(D136="","",IFERROR(INDEX(Calculadora!$H$11:$H$50,MATCH(D136,Calculadora!$A$11:$A$50,0)),""))</f>
        <v/>
      </c>
      <c r="N136" s="19" t="str">
        <f aca="false">IF(OR(I136="",M136=""),"",I136-G136*M136)</f>
        <v/>
      </c>
    </row>
    <row r="137" customFormat="false" ht="15" hidden="false" customHeight="false" outlineLevel="0" collapsed="false">
      <c r="A137" s="22"/>
      <c r="B137" s="16"/>
      <c r="C137" s="16"/>
      <c r="D137" s="16"/>
      <c r="E137" s="16"/>
      <c r="F137" s="16"/>
      <c r="G137" s="16"/>
      <c r="H137" s="13"/>
      <c r="I137" s="19" t="str">
        <f aca="false">IF(G137="","",G137*H137)</f>
        <v/>
      </c>
      <c r="J137" s="22"/>
      <c r="K137" s="16"/>
      <c r="L137" s="16"/>
      <c r="M137" s="19" t="str">
        <f aca="false">IF(D137="","",IFERROR(INDEX(Calculadora!$H$11:$H$50,MATCH(D137,Calculadora!$A$11:$A$50,0)),""))</f>
        <v/>
      </c>
      <c r="N137" s="19" t="str">
        <f aca="false">IF(OR(I137="",M137=""),"",I137-G137*M137)</f>
        <v/>
      </c>
    </row>
    <row r="138" customFormat="false" ht="15" hidden="false" customHeight="false" outlineLevel="0" collapsed="false">
      <c r="A138" s="22"/>
      <c r="B138" s="16"/>
      <c r="C138" s="16"/>
      <c r="D138" s="16"/>
      <c r="E138" s="16"/>
      <c r="F138" s="16"/>
      <c r="G138" s="16"/>
      <c r="H138" s="13"/>
      <c r="I138" s="19" t="str">
        <f aca="false">IF(G138="","",G138*H138)</f>
        <v/>
      </c>
      <c r="J138" s="22"/>
      <c r="K138" s="16"/>
      <c r="L138" s="16"/>
      <c r="M138" s="19" t="str">
        <f aca="false">IF(D138="","",IFERROR(INDEX(Calculadora!$H$11:$H$50,MATCH(D138,Calculadora!$A$11:$A$50,0)),""))</f>
        <v/>
      </c>
      <c r="N138" s="19" t="str">
        <f aca="false">IF(OR(I138="",M138=""),"",I138-G138*M138)</f>
        <v/>
      </c>
    </row>
    <row r="139" customFormat="false" ht="15" hidden="false" customHeight="false" outlineLevel="0" collapsed="false">
      <c r="A139" s="22"/>
      <c r="B139" s="16"/>
      <c r="C139" s="16"/>
      <c r="D139" s="16"/>
      <c r="E139" s="16"/>
      <c r="F139" s="16"/>
      <c r="G139" s="16"/>
      <c r="H139" s="13"/>
      <c r="I139" s="19" t="str">
        <f aca="false">IF(G139="","",G139*H139)</f>
        <v/>
      </c>
      <c r="J139" s="22"/>
      <c r="K139" s="16"/>
      <c r="L139" s="16"/>
      <c r="M139" s="19" t="str">
        <f aca="false">IF(D139="","",IFERROR(INDEX(Calculadora!$H$11:$H$50,MATCH(D139,Calculadora!$A$11:$A$50,0)),""))</f>
        <v/>
      </c>
      <c r="N139" s="19" t="str">
        <f aca="false">IF(OR(I139="",M139=""),"",I139-G139*M139)</f>
        <v/>
      </c>
    </row>
    <row r="140" customFormat="false" ht="15" hidden="false" customHeight="false" outlineLevel="0" collapsed="false">
      <c r="A140" s="22"/>
      <c r="B140" s="16"/>
      <c r="C140" s="16"/>
      <c r="D140" s="16"/>
      <c r="E140" s="16"/>
      <c r="F140" s="16"/>
      <c r="G140" s="16"/>
      <c r="H140" s="13"/>
      <c r="I140" s="19" t="str">
        <f aca="false">IF(G140="","",G140*H140)</f>
        <v/>
      </c>
      <c r="J140" s="22"/>
      <c r="K140" s="16"/>
      <c r="L140" s="16"/>
      <c r="M140" s="19" t="str">
        <f aca="false">IF(D140="","",IFERROR(INDEX(Calculadora!$H$11:$H$50,MATCH(D140,Calculadora!$A$11:$A$50,0)),""))</f>
        <v/>
      </c>
      <c r="N140" s="19" t="str">
        <f aca="false">IF(OR(I140="",M140=""),"",I140-G140*M140)</f>
        <v/>
      </c>
    </row>
    <row r="141" customFormat="false" ht="15" hidden="false" customHeight="false" outlineLevel="0" collapsed="false">
      <c r="A141" s="22"/>
      <c r="B141" s="16"/>
      <c r="C141" s="16"/>
      <c r="D141" s="16"/>
      <c r="E141" s="16"/>
      <c r="F141" s="16"/>
      <c r="G141" s="16"/>
      <c r="H141" s="13"/>
      <c r="I141" s="19" t="str">
        <f aca="false">IF(G141="","",G141*H141)</f>
        <v/>
      </c>
      <c r="J141" s="22"/>
      <c r="K141" s="16"/>
      <c r="L141" s="16"/>
      <c r="M141" s="19" t="str">
        <f aca="false">IF(D141="","",IFERROR(INDEX(Calculadora!$H$11:$H$50,MATCH(D141,Calculadora!$A$11:$A$50,0)),""))</f>
        <v/>
      </c>
      <c r="N141" s="19" t="str">
        <f aca="false">IF(OR(I141="",M141=""),"",I141-G141*M141)</f>
        <v/>
      </c>
    </row>
    <row r="142" customFormat="false" ht="15" hidden="false" customHeight="false" outlineLevel="0" collapsed="false">
      <c r="A142" s="22"/>
      <c r="B142" s="16"/>
      <c r="C142" s="16"/>
      <c r="D142" s="16"/>
      <c r="E142" s="16"/>
      <c r="F142" s="16"/>
      <c r="G142" s="16"/>
      <c r="H142" s="13"/>
      <c r="I142" s="19" t="str">
        <f aca="false">IF(G142="","",G142*H142)</f>
        <v/>
      </c>
      <c r="J142" s="22"/>
      <c r="K142" s="16"/>
      <c r="L142" s="16"/>
      <c r="M142" s="19" t="str">
        <f aca="false">IF(D142="","",IFERROR(INDEX(Calculadora!$H$11:$H$50,MATCH(D142,Calculadora!$A$11:$A$50,0)),""))</f>
        <v/>
      </c>
      <c r="N142" s="19" t="str">
        <f aca="false">IF(OR(I142="",M142=""),"",I142-G142*M142)</f>
        <v/>
      </c>
    </row>
    <row r="143" customFormat="false" ht="15" hidden="false" customHeight="false" outlineLevel="0" collapsed="false">
      <c r="A143" s="22"/>
      <c r="B143" s="16"/>
      <c r="C143" s="16"/>
      <c r="D143" s="16"/>
      <c r="E143" s="16"/>
      <c r="F143" s="16"/>
      <c r="G143" s="16"/>
      <c r="H143" s="13"/>
      <c r="I143" s="19" t="str">
        <f aca="false">IF(G143="","",G143*H143)</f>
        <v/>
      </c>
      <c r="J143" s="22"/>
      <c r="K143" s="16"/>
      <c r="L143" s="16"/>
      <c r="M143" s="19" t="str">
        <f aca="false">IF(D143="","",IFERROR(INDEX(Calculadora!$H$11:$H$50,MATCH(D143,Calculadora!$A$11:$A$50,0)),""))</f>
        <v/>
      </c>
      <c r="N143" s="19" t="str">
        <f aca="false">IF(OR(I143="",M143=""),"",I143-G143*M143)</f>
        <v/>
      </c>
    </row>
    <row r="144" customFormat="false" ht="15" hidden="false" customHeight="false" outlineLevel="0" collapsed="false">
      <c r="A144" s="22"/>
      <c r="B144" s="16"/>
      <c r="C144" s="16"/>
      <c r="D144" s="16"/>
      <c r="E144" s="16"/>
      <c r="F144" s="16"/>
      <c r="G144" s="16"/>
      <c r="H144" s="13"/>
      <c r="I144" s="19" t="str">
        <f aca="false">IF(G144="","",G144*H144)</f>
        <v/>
      </c>
      <c r="J144" s="22"/>
      <c r="K144" s="16"/>
      <c r="L144" s="16"/>
      <c r="M144" s="19" t="str">
        <f aca="false">IF(D144="","",IFERROR(INDEX(Calculadora!$H$11:$H$50,MATCH(D144,Calculadora!$A$11:$A$50,0)),""))</f>
        <v/>
      </c>
      <c r="N144" s="19" t="str">
        <f aca="false">IF(OR(I144="",M144=""),"",I144-G144*M144)</f>
        <v/>
      </c>
    </row>
    <row r="145" customFormat="false" ht="15" hidden="false" customHeight="false" outlineLevel="0" collapsed="false">
      <c r="A145" s="22"/>
      <c r="B145" s="16"/>
      <c r="C145" s="16"/>
      <c r="D145" s="16"/>
      <c r="E145" s="16"/>
      <c r="F145" s="16"/>
      <c r="G145" s="16"/>
      <c r="H145" s="13"/>
      <c r="I145" s="19" t="str">
        <f aca="false">IF(G145="","",G145*H145)</f>
        <v/>
      </c>
      <c r="J145" s="22"/>
      <c r="K145" s="16"/>
      <c r="L145" s="16"/>
      <c r="M145" s="19" t="str">
        <f aca="false">IF(D145="","",IFERROR(INDEX(Calculadora!$H$11:$H$50,MATCH(D145,Calculadora!$A$11:$A$50,0)),""))</f>
        <v/>
      </c>
      <c r="N145" s="19" t="str">
        <f aca="false">IF(OR(I145="",M145=""),"",I145-G145*M145)</f>
        <v/>
      </c>
    </row>
    <row r="146" customFormat="false" ht="15" hidden="false" customHeight="false" outlineLevel="0" collapsed="false">
      <c r="A146" s="22"/>
      <c r="B146" s="16"/>
      <c r="C146" s="16"/>
      <c r="D146" s="16"/>
      <c r="E146" s="16"/>
      <c r="F146" s="16"/>
      <c r="G146" s="16"/>
      <c r="H146" s="13"/>
      <c r="I146" s="19" t="str">
        <f aca="false">IF(G146="","",G146*H146)</f>
        <v/>
      </c>
      <c r="J146" s="22"/>
      <c r="K146" s="16"/>
      <c r="L146" s="16"/>
      <c r="M146" s="19" t="str">
        <f aca="false">IF(D146="","",IFERROR(INDEX(Calculadora!$H$11:$H$50,MATCH(D146,Calculadora!$A$11:$A$50,0)),""))</f>
        <v/>
      </c>
      <c r="N146" s="19" t="str">
        <f aca="false">IF(OR(I146="",M146=""),"",I146-G146*M146)</f>
        <v/>
      </c>
    </row>
    <row r="147" customFormat="false" ht="15" hidden="false" customHeight="false" outlineLevel="0" collapsed="false">
      <c r="A147" s="22"/>
      <c r="B147" s="16"/>
      <c r="C147" s="16"/>
      <c r="D147" s="16"/>
      <c r="E147" s="16"/>
      <c r="F147" s="16"/>
      <c r="G147" s="16"/>
      <c r="H147" s="13"/>
      <c r="I147" s="19" t="str">
        <f aca="false">IF(G147="","",G147*H147)</f>
        <v/>
      </c>
      <c r="J147" s="22"/>
      <c r="K147" s="16"/>
      <c r="L147" s="16"/>
      <c r="M147" s="19" t="str">
        <f aca="false">IF(D147="","",IFERROR(INDEX(Calculadora!$H$11:$H$50,MATCH(D147,Calculadora!$A$11:$A$50,0)),""))</f>
        <v/>
      </c>
      <c r="N147" s="19" t="str">
        <f aca="false">IF(OR(I147="",M147=""),"",I147-G147*M147)</f>
        <v/>
      </c>
    </row>
    <row r="148" customFormat="false" ht="15" hidden="false" customHeight="false" outlineLevel="0" collapsed="false">
      <c r="A148" s="22"/>
      <c r="B148" s="16"/>
      <c r="C148" s="16"/>
      <c r="D148" s="16"/>
      <c r="E148" s="16"/>
      <c r="F148" s="16"/>
      <c r="G148" s="16"/>
      <c r="H148" s="13"/>
      <c r="I148" s="19" t="str">
        <f aca="false">IF(G148="","",G148*H148)</f>
        <v/>
      </c>
      <c r="J148" s="22"/>
      <c r="K148" s="16"/>
      <c r="L148" s="16"/>
      <c r="M148" s="19" t="str">
        <f aca="false">IF(D148="","",IFERROR(INDEX(Calculadora!$H$11:$H$50,MATCH(D148,Calculadora!$A$11:$A$50,0)),""))</f>
        <v/>
      </c>
      <c r="N148" s="19" t="str">
        <f aca="false">IF(OR(I148="",M148=""),"",I148-G148*M148)</f>
        <v/>
      </c>
    </row>
    <row r="149" customFormat="false" ht="15" hidden="false" customHeight="false" outlineLevel="0" collapsed="false">
      <c r="A149" s="22"/>
      <c r="B149" s="16"/>
      <c r="C149" s="16"/>
      <c r="D149" s="16"/>
      <c r="E149" s="16"/>
      <c r="F149" s="16"/>
      <c r="G149" s="16"/>
      <c r="H149" s="13"/>
      <c r="I149" s="19" t="str">
        <f aca="false">IF(G149="","",G149*H149)</f>
        <v/>
      </c>
      <c r="J149" s="22"/>
      <c r="K149" s="16"/>
      <c r="L149" s="16"/>
      <c r="M149" s="19" t="str">
        <f aca="false">IF(D149="","",IFERROR(INDEX(Calculadora!$H$11:$H$50,MATCH(D149,Calculadora!$A$11:$A$50,0)),""))</f>
        <v/>
      </c>
      <c r="N149" s="19" t="str">
        <f aca="false">IF(OR(I149="",M149=""),"",I149-G149*M149)</f>
        <v/>
      </c>
    </row>
    <row r="150" customFormat="false" ht="15" hidden="false" customHeight="false" outlineLevel="0" collapsed="false">
      <c r="A150" s="22"/>
      <c r="B150" s="16"/>
      <c r="C150" s="16"/>
      <c r="D150" s="16"/>
      <c r="E150" s="16"/>
      <c r="F150" s="16"/>
      <c r="G150" s="16"/>
      <c r="H150" s="13"/>
      <c r="I150" s="19" t="str">
        <f aca="false">IF(G150="","",G150*H150)</f>
        <v/>
      </c>
      <c r="J150" s="22"/>
      <c r="K150" s="16"/>
      <c r="L150" s="16"/>
      <c r="M150" s="19" t="str">
        <f aca="false">IF(D150="","",IFERROR(INDEX(Calculadora!$H$11:$H$50,MATCH(D150,Calculadora!$A$11:$A$50,0)),""))</f>
        <v/>
      </c>
      <c r="N150" s="19" t="str">
        <f aca="false">IF(OR(I150="",M150=""),"",I150-G150*M150)</f>
        <v/>
      </c>
    </row>
    <row r="151" customFormat="false" ht="15" hidden="false" customHeight="false" outlineLevel="0" collapsed="false">
      <c r="A151" s="22"/>
      <c r="B151" s="16"/>
      <c r="C151" s="16"/>
      <c r="D151" s="16"/>
      <c r="E151" s="16"/>
      <c r="F151" s="16"/>
      <c r="G151" s="16"/>
      <c r="H151" s="13"/>
      <c r="I151" s="19" t="str">
        <f aca="false">IF(G151="","",G151*H151)</f>
        <v/>
      </c>
      <c r="J151" s="22"/>
      <c r="K151" s="16"/>
      <c r="L151" s="16"/>
      <c r="M151" s="19" t="str">
        <f aca="false">IF(D151="","",IFERROR(INDEX(Calculadora!$H$11:$H$50,MATCH(D151,Calculadora!$A$11:$A$50,0)),""))</f>
        <v/>
      </c>
      <c r="N151" s="19" t="str">
        <f aca="false">IF(OR(I151="",M151=""),"",I151-G151*M151)</f>
        <v/>
      </c>
    </row>
    <row r="152" customFormat="false" ht="15" hidden="false" customHeight="false" outlineLevel="0" collapsed="false">
      <c r="A152" s="22"/>
      <c r="B152" s="16"/>
      <c r="C152" s="16"/>
      <c r="D152" s="16"/>
      <c r="E152" s="16"/>
      <c r="F152" s="16"/>
      <c r="G152" s="16"/>
      <c r="H152" s="13"/>
      <c r="I152" s="19" t="str">
        <f aca="false">IF(G152="","",G152*H152)</f>
        <v/>
      </c>
      <c r="J152" s="22"/>
      <c r="K152" s="16"/>
      <c r="L152" s="16"/>
      <c r="M152" s="19" t="str">
        <f aca="false">IF(D152="","",IFERROR(INDEX(Calculadora!$H$11:$H$50,MATCH(D152,Calculadora!$A$11:$A$50,0)),""))</f>
        <v/>
      </c>
      <c r="N152" s="19" t="str">
        <f aca="false">IF(OR(I152="",M152=""),"",I152-G152*M152)</f>
        <v/>
      </c>
    </row>
    <row r="153" customFormat="false" ht="15" hidden="false" customHeight="false" outlineLevel="0" collapsed="false">
      <c r="A153" s="22"/>
      <c r="B153" s="16"/>
      <c r="C153" s="16"/>
      <c r="D153" s="16"/>
      <c r="E153" s="16"/>
      <c r="F153" s="16"/>
      <c r="G153" s="16"/>
      <c r="H153" s="13"/>
      <c r="I153" s="19" t="str">
        <f aca="false">IF(G153="","",G153*H153)</f>
        <v/>
      </c>
      <c r="J153" s="22"/>
      <c r="K153" s="16"/>
      <c r="L153" s="16"/>
      <c r="M153" s="19" t="str">
        <f aca="false">IF(D153="","",IFERROR(INDEX(Calculadora!$H$11:$H$50,MATCH(D153,Calculadora!$A$11:$A$50,0)),""))</f>
        <v/>
      </c>
      <c r="N153" s="19" t="str">
        <f aca="false">IF(OR(I153="",M153=""),"",I153-G153*M153)</f>
        <v/>
      </c>
    </row>
    <row r="154" customFormat="false" ht="15" hidden="false" customHeight="false" outlineLevel="0" collapsed="false">
      <c r="A154" s="22"/>
      <c r="B154" s="16"/>
      <c r="C154" s="16"/>
      <c r="D154" s="16"/>
      <c r="E154" s="16"/>
      <c r="F154" s="16"/>
      <c r="G154" s="16"/>
      <c r="H154" s="13"/>
      <c r="I154" s="19" t="str">
        <f aca="false">IF(G154="","",G154*H154)</f>
        <v/>
      </c>
      <c r="J154" s="22"/>
      <c r="K154" s="16"/>
      <c r="L154" s="16"/>
      <c r="M154" s="19" t="str">
        <f aca="false">IF(D154="","",IFERROR(INDEX(Calculadora!$H$11:$H$50,MATCH(D154,Calculadora!$A$11:$A$50,0)),""))</f>
        <v/>
      </c>
      <c r="N154" s="19" t="str">
        <f aca="false">IF(OR(I154="",M154=""),"",I154-G154*M154)</f>
        <v/>
      </c>
    </row>
    <row r="155" customFormat="false" ht="15" hidden="false" customHeight="false" outlineLevel="0" collapsed="false">
      <c r="A155" s="22"/>
      <c r="B155" s="16"/>
      <c r="C155" s="16"/>
      <c r="D155" s="16"/>
      <c r="E155" s="16"/>
      <c r="F155" s="16"/>
      <c r="G155" s="16"/>
      <c r="H155" s="13"/>
      <c r="I155" s="19" t="str">
        <f aca="false">IF(G155="","",G155*H155)</f>
        <v/>
      </c>
      <c r="J155" s="22"/>
      <c r="K155" s="16"/>
      <c r="L155" s="16"/>
      <c r="M155" s="19" t="str">
        <f aca="false">IF(D155="","",IFERROR(INDEX(Calculadora!$H$11:$H$50,MATCH(D155,Calculadora!$A$11:$A$50,0)),""))</f>
        <v/>
      </c>
      <c r="N155" s="19" t="str">
        <f aca="false">IF(OR(I155="",M155=""),"",I155-G155*M155)</f>
        <v/>
      </c>
    </row>
    <row r="156" customFormat="false" ht="15" hidden="false" customHeight="false" outlineLevel="0" collapsed="false">
      <c r="A156" s="22"/>
      <c r="B156" s="16"/>
      <c r="C156" s="16"/>
      <c r="D156" s="16"/>
      <c r="E156" s="16"/>
      <c r="F156" s="16"/>
      <c r="G156" s="16"/>
      <c r="H156" s="13"/>
      <c r="I156" s="19" t="str">
        <f aca="false">IF(G156="","",G156*H156)</f>
        <v/>
      </c>
      <c r="J156" s="22"/>
      <c r="K156" s="16"/>
      <c r="L156" s="16"/>
      <c r="M156" s="19" t="str">
        <f aca="false">IF(D156="","",IFERROR(INDEX(Calculadora!$H$11:$H$50,MATCH(D156,Calculadora!$A$11:$A$50,0)),""))</f>
        <v/>
      </c>
      <c r="N156" s="19" t="str">
        <f aca="false">IF(OR(I156="",M156=""),"",I156-G156*M156)</f>
        <v/>
      </c>
    </row>
    <row r="157" customFormat="false" ht="15" hidden="false" customHeight="false" outlineLevel="0" collapsed="false">
      <c r="A157" s="22"/>
      <c r="B157" s="16"/>
      <c r="C157" s="16"/>
      <c r="D157" s="16"/>
      <c r="E157" s="16"/>
      <c r="F157" s="16"/>
      <c r="G157" s="16"/>
      <c r="H157" s="13"/>
      <c r="I157" s="19" t="str">
        <f aca="false">IF(G157="","",G157*H157)</f>
        <v/>
      </c>
      <c r="J157" s="22"/>
      <c r="K157" s="16"/>
      <c r="L157" s="16"/>
      <c r="M157" s="19" t="str">
        <f aca="false">IF(D157="","",IFERROR(INDEX(Calculadora!$H$11:$H$50,MATCH(D157,Calculadora!$A$11:$A$50,0)),""))</f>
        <v/>
      </c>
      <c r="N157" s="19" t="str">
        <f aca="false">IF(OR(I157="",M157=""),"",I157-G157*M157)</f>
        <v/>
      </c>
    </row>
    <row r="158" customFormat="false" ht="15" hidden="false" customHeight="false" outlineLevel="0" collapsed="false">
      <c r="A158" s="22"/>
      <c r="B158" s="16"/>
      <c r="C158" s="16"/>
      <c r="D158" s="16"/>
      <c r="E158" s="16"/>
      <c r="F158" s="16"/>
      <c r="G158" s="16"/>
      <c r="H158" s="13"/>
      <c r="I158" s="19" t="str">
        <f aca="false">IF(G158="","",G158*H158)</f>
        <v/>
      </c>
      <c r="J158" s="22"/>
      <c r="K158" s="16"/>
      <c r="L158" s="16"/>
      <c r="M158" s="19" t="str">
        <f aca="false">IF(D158="","",IFERROR(INDEX(Calculadora!$H$11:$H$50,MATCH(D158,Calculadora!$A$11:$A$50,0)),""))</f>
        <v/>
      </c>
      <c r="N158" s="19" t="str">
        <f aca="false">IF(OR(I158="",M158=""),"",I158-G158*M158)</f>
        <v/>
      </c>
    </row>
    <row r="159" customFormat="false" ht="15" hidden="false" customHeight="false" outlineLevel="0" collapsed="false">
      <c r="A159" s="22"/>
      <c r="B159" s="16"/>
      <c r="C159" s="16"/>
      <c r="D159" s="16"/>
      <c r="E159" s="16"/>
      <c r="F159" s="16"/>
      <c r="G159" s="16"/>
      <c r="H159" s="13"/>
      <c r="I159" s="19" t="str">
        <f aca="false">IF(G159="","",G159*H159)</f>
        <v/>
      </c>
      <c r="J159" s="22"/>
      <c r="K159" s="16"/>
      <c r="L159" s="16"/>
      <c r="M159" s="19" t="str">
        <f aca="false">IF(D159="","",IFERROR(INDEX(Calculadora!$H$11:$H$50,MATCH(D159,Calculadora!$A$11:$A$50,0)),""))</f>
        <v/>
      </c>
      <c r="N159" s="19" t="str">
        <f aca="false">IF(OR(I159="",M159=""),"",I159-G159*M159)</f>
        <v/>
      </c>
    </row>
    <row r="160" customFormat="false" ht="15" hidden="false" customHeight="false" outlineLevel="0" collapsed="false">
      <c r="A160" s="22"/>
      <c r="B160" s="16"/>
      <c r="C160" s="16"/>
      <c r="D160" s="16"/>
      <c r="E160" s="16"/>
      <c r="F160" s="16"/>
      <c r="G160" s="16"/>
      <c r="H160" s="13"/>
      <c r="I160" s="19" t="str">
        <f aca="false">IF(G160="","",G160*H160)</f>
        <v/>
      </c>
      <c r="J160" s="22"/>
      <c r="K160" s="16"/>
      <c r="L160" s="16"/>
      <c r="M160" s="19" t="str">
        <f aca="false">IF(D160="","",IFERROR(INDEX(Calculadora!$H$11:$H$50,MATCH(D160,Calculadora!$A$11:$A$50,0)),""))</f>
        <v/>
      </c>
      <c r="N160" s="19" t="str">
        <f aca="false">IF(OR(I160="",M160=""),"",I160-G160*M160)</f>
        <v/>
      </c>
    </row>
    <row r="161" customFormat="false" ht="15" hidden="false" customHeight="false" outlineLevel="0" collapsed="false">
      <c r="A161" s="22"/>
      <c r="B161" s="16"/>
      <c r="C161" s="16"/>
      <c r="D161" s="16"/>
      <c r="E161" s="16"/>
      <c r="F161" s="16"/>
      <c r="G161" s="16"/>
      <c r="H161" s="13"/>
      <c r="I161" s="19" t="str">
        <f aca="false">IF(G161="","",G161*H161)</f>
        <v/>
      </c>
      <c r="J161" s="22"/>
      <c r="K161" s="16"/>
      <c r="L161" s="16"/>
      <c r="M161" s="19" t="str">
        <f aca="false">IF(D161="","",IFERROR(INDEX(Calculadora!$H$11:$H$50,MATCH(D161,Calculadora!$A$11:$A$50,0)),""))</f>
        <v/>
      </c>
      <c r="N161" s="19" t="str">
        <f aca="false">IF(OR(I161="",M161=""),"",I161-G161*M161)</f>
        <v/>
      </c>
    </row>
    <row r="162" customFormat="false" ht="15" hidden="false" customHeight="false" outlineLevel="0" collapsed="false">
      <c r="A162" s="22"/>
      <c r="B162" s="16"/>
      <c r="C162" s="16"/>
      <c r="D162" s="16"/>
      <c r="E162" s="16"/>
      <c r="F162" s="16"/>
      <c r="G162" s="16"/>
      <c r="H162" s="13"/>
      <c r="I162" s="19" t="str">
        <f aca="false">IF(G162="","",G162*H162)</f>
        <v/>
      </c>
      <c r="J162" s="22"/>
      <c r="K162" s="16"/>
      <c r="L162" s="16"/>
      <c r="M162" s="19" t="str">
        <f aca="false">IF(D162="","",IFERROR(INDEX(Calculadora!$H$11:$H$50,MATCH(D162,Calculadora!$A$11:$A$50,0)),""))</f>
        <v/>
      </c>
      <c r="N162" s="19" t="str">
        <f aca="false">IF(OR(I162="",M162=""),"",I162-G162*M162)</f>
        <v/>
      </c>
    </row>
    <row r="163" customFormat="false" ht="15" hidden="false" customHeight="false" outlineLevel="0" collapsed="false">
      <c r="A163" s="22"/>
      <c r="B163" s="16"/>
      <c r="C163" s="16"/>
      <c r="D163" s="16"/>
      <c r="E163" s="16"/>
      <c r="F163" s="16"/>
      <c r="G163" s="16"/>
      <c r="H163" s="13"/>
      <c r="I163" s="19" t="str">
        <f aca="false">IF(G163="","",G163*H163)</f>
        <v/>
      </c>
      <c r="J163" s="22"/>
      <c r="K163" s="16"/>
      <c r="L163" s="16"/>
      <c r="M163" s="19" t="str">
        <f aca="false">IF(D163="","",IFERROR(INDEX(Calculadora!$H$11:$H$50,MATCH(D163,Calculadora!$A$11:$A$50,0)),""))</f>
        <v/>
      </c>
      <c r="N163" s="19" t="str">
        <f aca="false">IF(OR(I163="",M163=""),"",I163-G163*M163)</f>
        <v/>
      </c>
    </row>
    <row r="164" customFormat="false" ht="15" hidden="false" customHeight="false" outlineLevel="0" collapsed="false">
      <c r="A164" s="22"/>
      <c r="B164" s="16"/>
      <c r="C164" s="16"/>
      <c r="D164" s="16"/>
      <c r="E164" s="16"/>
      <c r="F164" s="16"/>
      <c r="G164" s="16"/>
      <c r="H164" s="13"/>
      <c r="I164" s="19" t="str">
        <f aca="false">IF(G164="","",G164*H164)</f>
        <v/>
      </c>
      <c r="J164" s="22"/>
      <c r="K164" s="16"/>
      <c r="L164" s="16"/>
      <c r="M164" s="19" t="str">
        <f aca="false">IF(D164="","",IFERROR(INDEX(Calculadora!$H$11:$H$50,MATCH(D164,Calculadora!$A$11:$A$50,0)),""))</f>
        <v/>
      </c>
      <c r="N164" s="19" t="str">
        <f aca="false">IF(OR(I164="",M164=""),"",I164-G164*M164)</f>
        <v/>
      </c>
    </row>
    <row r="165" customFormat="false" ht="15" hidden="false" customHeight="false" outlineLevel="0" collapsed="false">
      <c r="A165" s="22"/>
      <c r="B165" s="16"/>
      <c r="C165" s="16"/>
      <c r="D165" s="16"/>
      <c r="E165" s="16"/>
      <c r="F165" s="16"/>
      <c r="G165" s="16"/>
      <c r="H165" s="13"/>
      <c r="I165" s="19" t="str">
        <f aca="false">IF(G165="","",G165*H165)</f>
        <v/>
      </c>
      <c r="J165" s="22"/>
      <c r="K165" s="16"/>
      <c r="L165" s="16"/>
      <c r="M165" s="19" t="str">
        <f aca="false">IF(D165="","",IFERROR(INDEX(Calculadora!$H$11:$H$50,MATCH(D165,Calculadora!$A$11:$A$50,0)),""))</f>
        <v/>
      </c>
      <c r="N165" s="19" t="str">
        <f aca="false">IF(OR(I165="",M165=""),"",I165-G165*M165)</f>
        <v/>
      </c>
    </row>
    <row r="166" customFormat="false" ht="15" hidden="false" customHeight="false" outlineLevel="0" collapsed="false">
      <c r="A166" s="22"/>
      <c r="B166" s="16"/>
      <c r="C166" s="16"/>
      <c r="D166" s="16"/>
      <c r="E166" s="16"/>
      <c r="F166" s="16"/>
      <c r="G166" s="16"/>
      <c r="H166" s="13"/>
      <c r="I166" s="19" t="str">
        <f aca="false">IF(G166="","",G166*H166)</f>
        <v/>
      </c>
      <c r="J166" s="22"/>
      <c r="K166" s="16"/>
      <c r="L166" s="16"/>
      <c r="M166" s="19" t="str">
        <f aca="false">IF(D166="","",IFERROR(INDEX(Calculadora!$H$11:$H$50,MATCH(D166,Calculadora!$A$11:$A$50,0)),""))</f>
        <v/>
      </c>
      <c r="N166" s="19" t="str">
        <f aca="false">IF(OR(I166="",M166=""),"",I166-G166*M166)</f>
        <v/>
      </c>
    </row>
    <row r="167" customFormat="false" ht="15" hidden="false" customHeight="false" outlineLevel="0" collapsed="false">
      <c r="A167" s="22"/>
      <c r="B167" s="16"/>
      <c r="C167" s="16"/>
      <c r="D167" s="16"/>
      <c r="E167" s="16"/>
      <c r="F167" s="16"/>
      <c r="G167" s="16"/>
      <c r="H167" s="13"/>
      <c r="I167" s="19" t="str">
        <f aca="false">IF(G167="","",G167*H167)</f>
        <v/>
      </c>
      <c r="J167" s="22"/>
      <c r="K167" s="16"/>
      <c r="L167" s="16"/>
      <c r="M167" s="19" t="str">
        <f aca="false">IF(D167="","",IFERROR(INDEX(Calculadora!$H$11:$H$50,MATCH(D167,Calculadora!$A$11:$A$50,0)),""))</f>
        <v/>
      </c>
      <c r="N167" s="19" t="str">
        <f aca="false">IF(OR(I167="",M167=""),"",I167-G167*M167)</f>
        <v/>
      </c>
    </row>
    <row r="168" customFormat="false" ht="15" hidden="false" customHeight="false" outlineLevel="0" collapsed="false">
      <c r="A168" s="22"/>
      <c r="B168" s="16"/>
      <c r="C168" s="16"/>
      <c r="D168" s="16"/>
      <c r="E168" s="16"/>
      <c r="F168" s="16"/>
      <c r="G168" s="16"/>
      <c r="H168" s="13"/>
      <c r="I168" s="19" t="str">
        <f aca="false">IF(G168="","",G168*H168)</f>
        <v/>
      </c>
      <c r="J168" s="22"/>
      <c r="K168" s="16"/>
      <c r="L168" s="16"/>
      <c r="M168" s="19" t="str">
        <f aca="false">IF(D168="","",IFERROR(INDEX(Calculadora!$H$11:$H$50,MATCH(D168,Calculadora!$A$11:$A$50,0)),""))</f>
        <v/>
      </c>
      <c r="N168" s="19" t="str">
        <f aca="false">IF(OR(I168="",M168=""),"",I168-G168*M168)</f>
        <v/>
      </c>
    </row>
    <row r="169" customFormat="false" ht="15" hidden="false" customHeight="false" outlineLevel="0" collapsed="false">
      <c r="A169" s="22"/>
      <c r="B169" s="16"/>
      <c r="C169" s="16"/>
      <c r="D169" s="16"/>
      <c r="E169" s="16"/>
      <c r="F169" s="16"/>
      <c r="G169" s="16"/>
      <c r="H169" s="13"/>
      <c r="I169" s="19" t="str">
        <f aca="false">IF(G169="","",G169*H169)</f>
        <v/>
      </c>
      <c r="J169" s="22"/>
      <c r="K169" s="16"/>
      <c r="L169" s="16"/>
      <c r="M169" s="19" t="str">
        <f aca="false">IF(D169="","",IFERROR(INDEX(Calculadora!$H$11:$H$50,MATCH(D169,Calculadora!$A$11:$A$50,0)),""))</f>
        <v/>
      </c>
      <c r="N169" s="19" t="str">
        <f aca="false">IF(OR(I169="",M169=""),"",I169-G169*M169)</f>
        <v/>
      </c>
    </row>
    <row r="170" customFormat="false" ht="15" hidden="false" customHeight="false" outlineLevel="0" collapsed="false">
      <c r="A170" s="22"/>
      <c r="B170" s="16"/>
      <c r="C170" s="16"/>
      <c r="D170" s="16"/>
      <c r="E170" s="16"/>
      <c r="F170" s="16"/>
      <c r="G170" s="16"/>
      <c r="H170" s="13"/>
      <c r="I170" s="19" t="str">
        <f aca="false">IF(G170="","",G170*H170)</f>
        <v/>
      </c>
      <c r="J170" s="22"/>
      <c r="K170" s="16"/>
      <c r="L170" s="16"/>
      <c r="M170" s="19" t="str">
        <f aca="false">IF(D170="","",IFERROR(INDEX(Calculadora!$H$11:$H$50,MATCH(D170,Calculadora!$A$11:$A$50,0)),""))</f>
        <v/>
      </c>
      <c r="N170" s="19" t="str">
        <f aca="false">IF(OR(I170="",M170=""),"",I170-G170*M170)</f>
        <v/>
      </c>
    </row>
    <row r="171" customFormat="false" ht="15" hidden="false" customHeight="false" outlineLevel="0" collapsed="false">
      <c r="A171" s="22"/>
      <c r="B171" s="16"/>
      <c r="C171" s="16"/>
      <c r="D171" s="16"/>
      <c r="E171" s="16"/>
      <c r="F171" s="16"/>
      <c r="G171" s="16"/>
      <c r="H171" s="13"/>
      <c r="I171" s="19" t="str">
        <f aca="false">IF(G171="","",G171*H171)</f>
        <v/>
      </c>
      <c r="J171" s="22"/>
      <c r="K171" s="16"/>
      <c r="L171" s="16"/>
      <c r="M171" s="19" t="str">
        <f aca="false">IF(D171="","",IFERROR(INDEX(Calculadora!$H$11:$H$50,MATCH(D171,Calculadora!$A$11:$A$50,0)),""))</f>
        <v/>
      </c>
      <c r="N171" s="19" t="str">
        <f aca="false">IF(OR(I171="",M171=""),"",I171-G171*M171)</f>
        <v/>
      </c>
    </row>
    <row r="172" customFormat="false" ht="15" hidden="false" customHeight="false" outlineLevel="0" collapsed="false">
      <c r="A172" s="22"/>
      <c r="B172" s="16"/>
      <c r="C172" s="16"/>
      <c r="D172" s="16"/>
      <c r="E172" s="16"/>
      <c r="F172" s="16"/>
      <c r="G172" s="16"/>
      <c r="H172" s="13"/>
      <c r="I172" s="19" t="str">
        <f aca="false">IF(G172="","",G172*H172)</f>
        <v/>
      </c>
      <c r="J172" s="22"/>
      <c r="K172" s="16"/>
      <c r="L172" s="16"/>
      <c r="M172" s="19" t="str">
        <f aca="false">IF(D172="","",IFERROR(INDEX(Calculadora!$H$11:$H$50,MATCH(D172,Calculadora!$A$11:$A$50,0)),""))</f>
        <v/>
      </c>
      <c r="N172" s="19" t="str">
        <f aca="false">IF(OR(I172="",M172=""),"",I172-G172*M172)</f>
        <v/>
      </c>
    </row>
    <row r="173" customFormat="false" ht="15" hidden="false" customHeight="false" outlineLevel="0" collapsed="false">
      <c r="A173" s="22"/>
      <c r="B173" s="16"/>
      <c r="C173" s="16"/>
      <c r="D173" s="16"/>
      <c r="E173" s="16"/>
      <c r="F173" s="16"/>
      <c r="G173" s="16"/>
      <c r="H173" s="13"/>
      <c r="I173" s="19" t="str">
        <f aca="false">IF(G173="","",G173*H173)</f>
        <v/>
      </c>
      <c r="J173" s="22"/>
      <c r="K173" s="16"/>
      <c r="L173" s="16"/>
      <c r="M173" s="19" t="str">
        <f aca="false">IF(D173="","",IFERROR(INDEX(Calculadora!$H$11:$H$50,MATCH(D173,Calculadora!$A$11:$A$50,0)),""))</f>
        <v/>
      </c>
      <c r="N173" s="19" t="str">
        <f aca="false">IF(OR(I173="",M173=""),"",I173-G173*M173)</f>
        <v/>
      </c>
    </row>
    <row r="174" customFormat="false" ht="15" hidden="false" customHeight="false" outlineLevel="0" collapsed="false">
      <c r="A174" s="22"/>
      <c r="B174" s="16"/>
      <c r="C174" s="16"/>
      <c r="D174" s="16"/>
      <c r="E174" s="16"/>
      <c r="F174" s="16"/>
      <c r="G174" s="16"/>
      <c r="H174" s="13"/>
      <c r="I174" s="19" t="str">
        <f aca="false">IF(G174="","",G174*H174)</f>
        <v/>
      </c>
      <c r="J174" s="22"/>
      <c r="K174" s="16"/>
      <c r="L174" s="16"/>
      <c r="M174" s="19" t="str">
        <f aca="false">IF(D174="","",IFERROR(INDEX(Calculadora!$H$11:$H$50,MATCH(D174,Calculadora!$A$11:$A$50,0)),""))</f>
        <v/>
      </c>
      <c r="N174" s="19" t="str">
        <f aca="false">IF(OR(I174="",M174=""),"",I174-G174*M174)</f>
        <v/>
      </c>
    </row>
    <row r="175" customFormat="false" ht="15" hidden="false" customHeight="false" outlineLevel="0" collapsed="false">
      <c r="A175" s="22"/>
      <c r="B175" s="16"/>
      <c r="C175" s="16"/>
      <c r="D175" s="16"/>
      <c r="E175" s="16"/>
      <c r="F175" s="16"/>
      <c r="G175" s="16"/>
      <c r="H175" s="13"/>
      <c r="I175" s="19" t="str">
        <f aca="false">IF(G175="","",G175*H175)</f>
        <v/>
      </c>
      <c r="J175" s="22"/>
      <c r="K175" s="16"/>
      <c r="L175" s="16"/>
      <c r="M175" s="19" t="str">
        <f aca="false">IF(D175="","",IFERROR(INDEX(Calculadora!$H$11:$H$50,MATCH(D175,Calculadora!$A$11:$A$50,0)),""))</f>
        <v/>
      </c>
      <c r="N175" s="19" t="str">
        <f aca="false">IF(OR(I175="",M175=""),"",I175-G175*M175)</f>
        <v/>
      </c>
    </row>
    <row r="176" customFormat="false" ht="15" hidden="false" customHeight="false" outlineLevel="0" collapsed="false">
      <c r="A176" s="22"/>
      <c r="B176" s="16"/>
      <c r="C176" s="16"/>
      <c r="D176" s="16"/>
      <c r="E176" s="16"/>
      <c r="F176" s="16"/>
      <c r="G176" s="16"/>
      <c r="H176" s="13"/>
      <c r="I176" s="19" t="str">
        <f aca="false">IF(G176="","",G176*H176)</f>
        <v/>
      </c>
      <c r="J176" s="22"/>
      <c r="K176" s="16"/>
      <c r="L176" s="16"/>
      <c r="M176" s="19" t="str">
        <f aca="false">IF(D176="","",IFERROR(INDEX(Calculadora!$H$11:$H$50,MATCH(D176,Calculadora!$A$11:$A$50,0)),""))</f>
        <v/>
      </c>
      <c r="N176" s="19" t="str">
        <f aca="false">IF(OR(I176="",M176=""),"",I176-G176*M176)</f>
        <v/>
      </c>
    </row>
    <row r="177" customFormat="false" ht="15" hidden="false" customHeight="false" outlineLevel="0" collapsed="false">
      <c r="A177" s="22"/>
      <c r="B177" s="16"/>
      <c r="C177" s="16"/>
      <c r="D177" s="16"/>
      <c r="E177" s="16"/>
      <c r="F177" s="16"/>
      <c r="G177" s="16"/>
      <c r="H177" s="13"/>
      <c r="I177" s="19" t="str">
        <f aca="false">IF(G177="","",G177*H177)</f>
        <v/>
      </c>
      <c r="J177" s="22"/>
      <c r="K177" s="16"/>
      <c r="L177" s="16"/>
      <c r="M177" s="19" t="str">
        <f aca="false">IF(D177="","",IFERROR(INDEX(Calculadora!$H$11:$H$50,MATCH(D177,Calculadora!$A$11:$A$50,0)),""))</f>
        <v/>
      </c>
      <c r="N177" s="19" t="str">
        <f aca="false">IF(OR(I177="",M177=""),"",I177-G177*M177)</f>
        <v/>
      </c>
    </row>
    <row r="178" customFormat="false" ht="15" hidden="false" customHeight="false" outlineLevel="0" collapsed="false">
      <c r="A178" s="22"/>
      <c r="B178" s="16"/>
      <c r="C178" s="16"/>
      <c r="D178" s="16"/>
      <c r="E178" s="16"/>
      <c r="F178" s="16"/>
      <c r="G178" s="16"/>
      <c r="H178" s="13"/>
      <c r="I178" s="19" t="str">
        <f aca="false">IF(G178="","",G178*H178)</f>
        <v/>
      </c>
      <c r="J178" s="22"/>
      <c r="K178" s="16"/>
      <c r="L178" s="16"/>
      <c r="M178" s="19" t="str">
        <f aca="false">IF(D178="","",IFERROR(INDEX(Calculadora!$H$11:$H$50,MATCH(D178,Calculadora!$A$11:$A$50,0)),""))</f>
        <v/>
      </c>
      <c r="N178" s="19" t="str">
        <f aca="false">IF(OR(I178="",M178=""),"",I178-G178*M178)</f>
        <v/>
      </c>
    </row>
    <row r="179" customFormat="false" ht="15" hidden="false" customHeight="false" outlineLevel="0" collapsed="false">
      <c r="A179" s="22"/>
      <c r="B179" s="16"/>
      <c r="C179" s="16"/>
      <c r="D179" s="16"/>
      <c r="E179" s="16"/>
      <c r="F179" s="16"/>
      <c r="G179" s="16"/>
      <c r="H179" s="13"/>
      <c r="I179" s="19" t="str">
        <f aca="false">IF(G179="","",G179*H179)</f>
        <v/>
      </c>
      <c r="J179" s="22"/>
      <c r="K179" s="16"/>
      <c r="L179" s="16"/>
      <c r="M179" s="19" t="str">
        <f aca="false">IF(D179="","",IFERROR(INDEX(Calculadora!$H$11:$H$50,MATCH(D179,Calculadora!$A$11:$A$50,0)),""))</f>
        <v/>
      </c>
      <c r="N179" s="19" t="str">
        <f aca="false">IF(OR(I179="",M179=""),"",I179-G179*M179)</f>
        <v/>
      </c>
    </row>
    <row r="180" customFormat="false" ht="15" hidden="false" customHeight="false" outlineLevel="0" collapsed="false">
      <c r="A180" s="22"/>
      <c r="B180" s="16"/>
      <c r="C180" s="16"/>
      <c r="D180" s="16"/>
      <c r="E180" s="16"/>
      <c r="F180" s="16"/>
      <c r="G180" s="16"/>
      <c r="H180" s="13"/>
      <c r="I180" s="19" t="str">
        <f aca="false">IF(G180="","",G180*H180)</f>
        <v/>
      </c>
      <c r="J180" s="22"/>
      <c r="K180" s="16"/>
      <c r="L180" s="16"/>
      <c r="M180" s="19" t="str">
        <f aca="false">IF(D180="","",IFERROR(INDEX(Calculadora!$H$11:$H$50,MATCH(D180,Calculadora!$A$11:$A$50,0)),""))</f>
        <v/>
      </c>
      <c r="N180" s="19" t="str">
        <f aca="false">IF(OR(I180="",M180=""),"",I180-G180*M180)</f>
        <v/>
      </c>
    </row>
    <row r="181" customFormat="false" ht="15" hidden="false" customHeight="false" outlineLevel="0" collapsed="false">
      <c r="A181" s="22"/>
      <c r="B181" s="16"/>
      <c r="C181" s="16"/>
      <c r="D181" s="16"/>
      <c r="E181" s="16"/>
      <c r="F181" s="16"/>
      <c r="G181" s="16"/>
      <c r="H181" s="13"/>
      <c r="I181" s="19" t="str">
        <f aca="false">IF(G181="","",G181*H181)</f>
        <v/>
      </c>
      <c r="J181" s="22"/>
      <c r="K181" s="16"/>
      <c r="L181" s="16"/>
      <c r="M181" s="19" t="str">
        <f aca="false">IF(D181="","",IFERROR(INDEX(Calculadora!$H$11:$H$50,MATCH(D181,Calculadora!$A$11:$A$50,0)),""))</f>
        <v/>
      </c>
      <c r="N181" s="19" t="str">
        <f aca="false">IF(OR(I181="",M181=""),"",I181-G181*M181)</f>
        <v/>
      </c>
    </row>
    <row r="182" customFormat="false" ht="15" hidden="false" customHeight="false" outlineLevel="0" collapsed="false">
      <c r="A182" s="22"/>
      <c r="B182" s="16"/>
      <c r="C182" s="16"/>
      <c r="D182" s="16"/>
      <c r="E182" s="16"/>
      <c r="F182" s="16"/>
      <c r="G182" s="16"/>
      <c r="H182" s="13"/>
      <c r="I182" s="19" t="str">
        <f aca="false">IF(G182="","",G182*H182)</f>
        <v/>
      </c>
      <c r="J182" s="22"/>
      <c r="K182" s="16"/>
      <c r="L182" s="16"/>
      <c r="M182" s="19" t="str">
        <f aca="false">IF(D182="","",IFERROR(INDEX(Calculadora!$H$11:$H$50,MATCH(D182,Calculadora!$A$11:$A$50,0)),""))</f>
        <v/>
      </c>
      <c r="N182" s="19" t="str">
        <f aca="false">IF(OR(I182="",M182=""),"",I182-G182*M182)</f>
        <v/>
      </c>
    </row>
    <row r="183" customFormat="false" ht="15" hidden="false" customHeight="false" outlineLevel="0" collapsed="false">
      <c r="A183" s="22"/>
      <c r="B183" s="16"/>
      <c r="C183" s="16"/>
      <c r="D183" s="16"/>
      <c r="E183" s="16"/>
      <c r="F183" s="16"/>
      <c r="G183" s="16"/>
      <c r="H183" s="13"/>
      <c r="I183" s="19" t="str">
        <f aca="false">IF(G183="","",G183*H183)</f>
        <v/>
      </c>
      <c r="J183" s="22"/>
      <c r="K183" s="16"/>
      <c r="L183" s="16"/>
      <c r="M183" s="19" t="str">
        <f aca="false">IF(D183="","",IFERROR(INDEX(Calculadora!$H$11:$H$50,MATCH(D183,Calculadora!$A$11:$A$50,0)),""))</f>
        <v/>
      </c>
      <c r="N183" s="19" t="str">
        <f aca="false">IF(OR(I183="",M183=""),"",I183-G183*M183)</f>
        <v/>
      </c>
    </row>
    <row r="184" customFormat="false" ht="15" hidden="false" customHeight="false" outlineLevel="0" collapsed="false">
      <c r="A184" s="22"/>
      <c r="B184" s="16"/>
      <c r="C184" s="16"/>
      <c r="D184" s="16"/>
      <c r="E184" s="16"/>
      <c r="F184" s="16"/>
      <c r="G184" s="16"/>
      <c r="H184" s="13"/>
      <c r="I184" s="19" t="str">
        <f aca="false">IF(G184="","",G184*H184)</f>
        <v/>
      </c>
      <c r="J184" s="22"/>
      <c r="K184" s="16"/>
      <c r="L184" s="16"/>
      <c r="M184" s="19" t="str">
        <f aca="false">IF(D184="","",IFERROR(INDEX(Calculadora!$H$11:$H$50,MATCH(D184,Calculadora!$A$11:$A$50,0)),""))</f>
        <v/>
      </c>
      <c r="N184" s="19" t="str">
        <f aca="false">IF(OR(I184="",M184=""),"",I184-G184*M184)</f>
        <v/>
      </c>
    </row>
    <row r="185" customFormat="false" ht="15" hidden="false" customHeight="false" outlineLevel="0" collapsed="false">
      <c r="A185" s="22"/>
      <c r="B185" s="16"/>
      <c r="C185" s="16"/>
      <c r="D185" s="16"/>
      <c r="E185" s="16"/>
      <c r="F185" s="16"/>
      <c r="G185" s="16"/>
      <c r="H185" s="13"/>
      <c r="I185" s="19" t="str">
        <f aca="false">IF(G185="","",G185*H185)</f>
        <v/>
      </c>
      <c r="J185" s="22"/>
      <c r="K185" s="16"/>
      <c r="L185" s="16"/>
      <c r="M185" s="19" t="str">
        <f aca="false">IF(D185="","",IFERROR(INDEX(Calculadora!$H$11:$H$50,MATCH(D185,Calculadora!$A$11:$A$50,0)),""))</f>
        <v/>
      </c>
      <c r="N185" s="19" t="str">
        <f aca="false">IF(OR(I185="",M185=""),"",I185-G185*M185)</f>
        <v/>
      </c>
    </row>
    <row r="186" customFormat="false" ht="15" hidden="false" customHeight="false" outlineLevel="0" collapsed="false">
      <c r="A186" s="22"/>
      <c r="B186" s="16"/>
      <c r="C186" s="16"/>
      <c r="D186" s="16"/>
      <c r="E186" s="16"/>
      <c r="F186" s="16"/>
      <c r="G186" s="16"/>
      <c r="H186" s="13"/>
      <c r="I186" s="19" t="str">
        <f aca="false">IF(G186="","",G186*H186)</f>
        <v/>
      </c>
      <c r="J186" s="22"/>
      <c r="K186" s="16"/>
      <c r="L186" s="16"/>
      <c r="M186" s="19" t="str">
        <f aca="false">IF(D186="","",IFERROR(INDEX(Calculadora!$H$11:$H$50,MATCH(D186,Calculadora!$A$11:$A$50,0)),""))</f>
        <v/>
      </c>
      <c r="N186" s="19" t="str">
        <f aca="false">IF(OR(I186="",M186=""),"",I186-G186*M186)</f>
        <v/>
      </c>
    </row>
    <row r="187" customFormat="false" ht="15" hidden="false" customHeight="false" outlineLevel="0" collapsed="false">
      <c r="A187" s="22"/>
      <c r="B187" s="16"/>
      <c r="C187" s="16"/>
      <c r="D187" s="16"/>
      <c r="E187" s="16"/>
      <c r="F187" s="16"/>
      <c r="G187" s="16"/>
      <c r="H187" s="13"/>
      <c r="I187" s="19" t="str">
        <f aca="false">IF(G187="","",G187*H187)</f>
        <v/>
      </c>
      <c r="J187" s="22"/>
      <c r="K187" s="16"/>
      <c r="L187" s="16"/>
      <c r="M187" s="19" t="str">
        <f aca="false">IF(D187="","",IFERROR(INDEX(Calculadora!$H$11:$H$50,MATCH(D187,Calculadora!$A$11:$A$50,0)),""))</f>
        <v/>
      </c>
      <c r="N187" s="19" t="str">
        <f aca="false">IF(OR(I187="",M187=""),"",I187-G187*M187)</f>
        <v/>
      </c>
    </row>
    <row r="188" customFormat="false" ht="15" hidden="false" customHeight="false" outlineLevel="0" collapsed="false">
      <c r="A188" s="22"/>
      <c r="B188" s="16"/>
      <c r="C188" s="16"/>
      <c r="D188" s="16"/>
      <c r="E188" s="16"/>
      <c r="F188" s="16"/>
      <c r="G188" s="16"/>
      <c r="H188" s="13"/>
      <c r="I188" s="19" t="str">
        <f aca="false">IF(G188="","",G188*H188)</f>
        <v/>
      </c>
      <c r="J188" s="22"/>
      <c r="K188" s="16"/>
      <c r="L188" s="16"/>
      <c r="M188" s="19" t="str">
        <f aca="false">IF(D188="","",IFERROR(INDEX(Calculadora!$H$11:$H$50,MATCH(D188,Calculadora!$A$11:$A$50,0)),""))</f>
        <v/>
      </c>
      <c r="N188" s="19" t="str">
        <f aca="false">IF(OR(I188="",M188=""),"",I188-G188*M188)</f>
        <v/>
      </c>
    </row>
    <row r="189" customFormat="false" ht="15" hidden="false" customHeight="false" outlineLevel="0" collapsed="false">
      <c r="A189" s="22"/>
      <c r="B189" s="16"/>
      <c r="C189" s="16"/>
      <c r="D189" s="16"/>
      <c r="E189" s="16"/>
      <c r="F189" s="16"/>
      <c r="G189" s="16"/>
      <c r="H189" s="13"/>
      <c r="I189" s="19" t="str">
        <f aca="false">IF(G189="","",G189*H189)</f>
        <v/>
      </c>
      <c r="J189" s="22"/>
      <c r="K189" s="16"/>
      <c r="L189" s="16"/>
      <c r="M189" s="19" t="str">
        <f aca="false">IF(D189="","",IFERROR(INDEX(Calculadora!$H$11:$H$50,MATCH(D189,Calculadora!$A$11:$A$50,0)),""))</f>
        <v/>
      </c>
      <c r="N189" s="19" t="str">
        <f aca="false">IF(OR(I189="",M189=""),"",I189-G189*M189)</f>
        <v/>
      </c>
    </row>
    <row r="190" customFormat="false" ht="15" hidden="false" customHeight="false" outlineLevel="0" collapsed="false">
      <c r="A190" s="22"/>
      <c r="B190" s="16"/>
      <c r="C190" s="16"/>
      <c r="D190" s="16"/>
      <c r="E190" s="16"/>
      <c r="F190" s="16"/>
      <c r="G190" s="16"/>
      <c r="H190" s="13"/>
      <c r="I190" s="19" t="str">
        <f aca="false">IF(G190="","",G190*H190)</f>
        <v/>
      </c>
      <c r="J190" s="22"/>
      <c r="K190" s="16"/>
      <c r="L190" s="16"/>
      <c r="M190" s="19" t="str">
        <f aca="false">IF(D190="","",IFERROR(INDEX(Calculadora!$H$11:$H$50,MATCH(D190,Calculadora!$A$11:$A$50,0)),""))</f>
        <v/>
      </c>
      <c r="N190" s="19" t="str">
        <f aca="false">IF(OR(I190="",M190=""),"",I190-G190*M190)</f>
        <v/>
      </c>
    </row>
    <row r="191" customFormat="false" ht="15" hidden="false" customHeight="false" outlineLevel="0" collapsed="false">
      <c r="A191" s="22"/>
      <c r="B191" s="16"/>
      <c r="C191" s="16"/>
      <c r="D191" s="16"/>
      <c r="E191" s="16"/>
      <c r="F191" s="16"/>
      <c r="G191" s="16"/>
      <c r="H191" s="13"/>
      <c r="I191" s="19" t="str">
        <f aca="false">IF(G191="","",G191*H191)</f>
        <v/>
      </c>
      <c r="J191" s="22"/>
      <c r="K191" s="16"/>
      <c r="L191" s="16"/>
      <c r="M191" s="19" t="str">
        <f aca="false">IF(D191="","",IFERROR(INDEX(Calculadora!$H$11:$H$50,MATCH(D191,Calculadora!$A$11:$A$50,0)),""))</f>
        <v/>
      </c>
      <c r="N191" s="19" t="str">
        <f aca="false">IF(OR(I191="",M191=""),"",I191-G191*M191)</f>
        <v/>
      </c>
    </row>
    <row r="192" customFormat="false" ht="15" hidden="false" customHeight="false" outlineLevel="0" collapsed="false">
      <c r="A192" s="22"/>
      <c r="B192" s="16"/>
      <c r="C192" s="16"/>
      <c r="D192" s="16"/>
      <c r="E192" s="16"/>
      <c r="F192" s="16"/>
      <c r="G192" s="16"/>
      <c r="H192" s="13"/>
      <c r="I192" s="19" t="str">
        <f aca="false">IF(G192="","",G192*H192)</f>
        <v/>
      </c>
      <c r="J192" s="22"/>
      <c r="K192" s="16"/>
      <c r="L192" s="16"/>
      <c r="M192" s="19" t="str">
        <f aca="false">IF(D192="","",IFERROR(INDEX(Calculadora!$H$11:$H$50,MATCH(D192,Calculadora!$A$11:$A$50,0)),""))</f>
        <v/>
      </c>
      <c r="N192" s="19" t="str">
        <f aca="false">IF(OR(I192="",M192=""),"",I192-G192*M192)</f>
        <v/>
      </c>
    </row>
    <row r="193" customFormat="false" ht="15" hidden="false" customHeight="false" outlineLevel="0" collapsed="false">
      <c r="A193" s="22"/>
      <c r="B193" s="16"/>
      <c r="C193" s="16"/>
      <c r="D193" s="16"/>
      <c r="E193" s="16"/>
      <c r="F193" s="16"/>
      <c r="G193" s="16"/>
      <c r="H193" s="13"/>
      <c r="I193" s="19" t="str">
        <f aca="false">IF(G193="","",G193*H193)</f>
        <v/>
      </c>
      <c r="J193" s="22"/>
      <c r="K193" s="16"/>
      <c r="L193" s="16"/>
      <c r="M193" s="19" t="str">
        <f aca="false">IF(D193="","",IFERROR(INDEX(Calculadora!$H$11:$H$50,MATCH(D193,Calculadora!$A$11:$A$50,0)),""))</f>
        <v/>
      </c>
      <c r="N193" s="19" t="str">
        <f aca="false">IF(OR(I193="",M193=""),"",I193-G193*M193)</f>
        <v/>
      </c>
    </row>
    <row r="194" customFormat="false" ht="15" hidden="false" customHeight="false" outlineLevel="0" collapsed="false">
      <c r="A194" s="22"/>
      <c r="B194" s="16"/>
      <c r="C194" s="16"/>
      <c r="D194" s="16"/>
      <c r="E194" s="16"/>
      <c r="F194" s="16"/>
      <c r="G194" s="16"/>
      <c r="H194" s="13"/>
      <c r="I194" s="19" t="str">
        <f aca="false">IF(G194="","",G194*H194)</f>
        <v/>
      </c>
      <c r="J194" s="22"/>
      <c r="K194" s="16"/>
      <c r="L194" s="16"/>
      <c r="M194" s="19" t="str">
        <f aca="false">IF(D194="","",IFERROR(INDEX(Calculadora!$H$11:$H$50,MATCH(D194,Calculadora!$A$11:$A$50,0)),""))</f>
        <v/>
      </c>
      <c r="N194" s="19" t="str">
        <f aca="false">IF(OR(I194="",M194=""),"",I194-G194*M194)</f>
        <v/>
      </c>
    </row>
    <row r="195" customFormat="false" ht="15" hidden="false" customHeight="false" outlineLevel="0" collapsed="false">
      <c r="A195" s="22"/>
      <c r="B195" s="16"/>
      <c r="C195" s="16"/>
      <c r="D195" s="16"/>
      <c r="E195" s="16"/>
      <c r="F195" s="16"/>
      <c r="G195" s="16"/>
      <c r="H195" s="13"/>
      <c r="I195" s="19" t="str">
        <f aca="false">IF(G195="","",G195*H195)</f>
        <v/>
      </c>
      <c r="J195" s="22"/>
      <c r="K195" s="16"/>
      <c r="L195" s="16"/>
      <c r="M195" s="19" t="str">
        <f aca="false">IF(D195="","",IFERROR(INDEX(Calculadora!$H$11:$H$50,MATCH(D195,Calculadora!$A$11:$A$50,0)),""))</f>
        <v/>
      </c>
      <c r="N195" s="19" t="str">
        <f aca="false">IF(OR(I195="",M195=""),"",I195-G195*M195)</f>
        <v/>
      </c>
    </row>
    <row r="196" customFormat="false" ht="15" hidden="false" customHeight="false" outlineLevel="0" collapsed="false">
      <c r="A196" s="22"/>
      <c r="B196" s="16"/>
      <c r="C196" s="16"/>
      <c r="D196" s="16"/>
      <c r="E196" s="16"/>
      <c r="F196" s="16"/>
      <c r="G196" s="16"/>
      <c r="H196" s="13"/>
      <c r="I196" s="19" t="str">
        <f aca="false">IF(G196="","",G196*H196)</f>
        <v/>
      </c>
      <c r="J196" s="22"/>
      <c r="K196" s="16"/>
      <c r="L196" s="16"/>
      <c r="M196" s="19" t="str">
        <f aca="false">IF(D196="","",IFERROR(INDEX(Calculadora!$H$11:$H$50,MATCH(D196,Calculadora!$A$11:$A$50,0)),""))</f>
        <v/>
      </c>
      <c r="N196" s="19" t="str">
        <f aca="false">IF(OR(I196="",M196=""),"",I196-G196*M196)</f>
        <v/>
      </c>
    </row>
    <row r="197" customFormat="false" ht="15" hidden="false" customHeight="false" outlineLevel="0" collapsed="false">
      <c r="A197" s="22"/>
      <c r="B197" s="16"/>
      <c r="C197" s="16"/>
      <c r="D197" s="16"/>
      <c r="E197" s="16"/>
      <c r="F197" s="16"/>
      <c r="G197" s="16"/>
      <c r="H197" s="13"/>
      <c r="I197" s="19" t="str">
        <f aca="false">IF(G197="","",G197*H197)</f>
        <v/>
      </c>
      <c r="J197" s="22"/>
      <c r="K197" s="16"/>
      <c r="L197" s="16"/>
      <c r="M197" s="19" t="str">
        <f aca="false">IF(D197="","",IFERROR(INDEX(Calculadora!$H$11:$H$50,MATCH(D197,Calculadora!$A$11:$A$50,0)),""))</f>
        <v/>
      </c>
      <c r="N197" s="19" t="str">
        <f aca="false">IF(OR(I197="",M197=""),"",I197-G197*M197)</f>
        <v/>
      </c>
    </row>
    <row r="198" customFormat="false" ht="15" hidden="false" customHeight="false" outlineLevel="0" collapsed="false">
      <c r="A198" s="22"/>
      <c r="B198" s="16"/>
      <c r="C198" s="16"/>
      <c r="D198" s="16"/>
      <c r="E198" s="16"/>
      <c r="F198" s="16"/>
      <c r="G198" s="16"/>
      <c r="H198" s="13"/>
      <c r="I198" s="19" t="str">
        <f aca="false">IF(G198="","",G198*H198)</f>
        <v/>
      </c>
      <c r="J198" s="22"/>
      <c r="K198" s="16"/>
      <c r="L198" s="16"/>
      <c r="M198" s="19" t="str">
        <f aca="false">IF(D198="","",IFERROR(INDEX(Calculadora!$H$11:$H$50,MATCH(D198,Calculadora!$A$11:$A$50,0)),""))</f>
        <v/>
      </c>
      <c r="N198" s="19" t="str">
        <f aca="false">IF(OR(I198="",M198=""),"",I198-G198*M198)</f>
        <v/>
      </c>
    </row>
    <row r="199" customFormat="false" ht="15" hidden="false" customHeight="false" outlineLevel="0" collapsed="false">
      <c r="A199" s="22"/>
      <c r="B199" s="16"/>
      <c r="C199" s="16"/>
      <c r="D199" s="16"/>
      <c r="E199" s="16"/>
      <c r="F199" s="16"/>
      <c r="G199" s="16"/>
      <c r="H199" s="13"/>
      <c r="I199" s="19" t="str">
        <f aca="false">IF(G199="","",G199*H199)</f>
        <v/>
      </c>
      <c r="J199" s="22"/>
      <c r="K199" s="16"/>
      <c r="L199" s="16"/>
      <c r="M199" s="19" t="str">
        <f aca="false">IF(D199="","",IFERROR(INDEX(Calculadora!$H$11:$H$50,MATCH(D199,Calculadora!$A$11:$A$50,0)),""))</f>
        <v/>
      </c>
      <c r="N199" s="19" t="str">
        <f aca="false">IF(OR(I199="",M199=""),"",I199-G199*M199)</f>
        <v/>
      </c>
    </row>
    <row r="200" customFormat="false" ht="15" hidden="false" customHeight="false" outlineLevel="0" collapsed="false">
      <c r="A200" s="22"/>
      <c r="B200" s="16"/>
      <c r="C200" s="16"/>
      <c r="D200" s="16"/>
      <c r="E200" s="16"/>
      <c r="F200" s="16"/>
      <c r="G200" s="16"/>
      <c r="H200" s="13"/>
      <c r="I200" s="19" t="str">
        <f aca="false">IF(G200="","",G200*H200)</f>
        <v/>
      </c>
      <c r="J200" s="22"/>
      <c r="K200" s="16"/>
      <c r="L200" s="16"/>
      <c r="M200" s="19" t="str">
        <f aca="false">IF(D200="","",IFERROR(INDEX(Calculadora!$H$11:$H$50,MATCH(D200,Calculadora!$A$11:$A$50,0)),""))</f>
        <v/>
      </c>
      <c r="N200" s="19" t="str">
        <f aca="false">IF(OR(I200="",M200=""),"",I200-G200*M200)</f>
        <v/>
      </c>
    </row>
    <row r="201" customFormat="false" ht="15" hidden="false" customHeight="false" outlineLevel="0" collapsed="false">
      <c r="A201" s="22"/>
      <c r="B201" s="16"/>
      <c r="C201" s="16"/>
      <c r="D201" s="16"/>
      <c r="E201" s="16"/>
      <c r="F201" s="16"/>
      <c r="G201" s="16"/>
      <c r="H201" s="13"/>
      <c r="I201" s="19" t="str">
        <f aca="false">IF(G201="","",G201*H201)</f>
        <v/>
      </c>
      <c r="J201" s="22"/>
      <c r="K201" s="16"/>
      <c r="L201" s="16"/>
      <c r="M201" s="19" t="str">
        <f aca="false">IF(D201="","",IFERROR(INDEX(Calculadora!$H$11:$H$50,MATCH(D201,Calculadora!$A$11:$A$50,0)),""))</f>
        <v/>
      </c>
      <c r="N201" s="19" t="str">
        <f aca="false">IF(OR(I201="",M201=""),"",I201-G201*M201)</f>
        <v/>
      </c>
    </row>
    <row r="202" customFormat="false" ht="15" hidden="false" customHeight="false" outlineLevel="0" collapsed="false">
      <c r="A202" s="22"/>
      <c r="B202" s="16"/>
      <c r="C202" s="16"/>
      <c r="D202" s="16"/>
      <c r="E202" s="16"/>
      <c r="F202" s="16"/>
      <c r="G202" s="16"/>
      <c r="H202" s="13"/>
      <c r="I202" s="19" t="str">
        <f aca="false">IF(G202="","",G202*H202)</f>
        <v/>
      </c>
      <c r="J202" s="22"/>
      <c r="K202" s="16"/>
      <c r="L202" s="16"/>
      <c r="M202" s="19" t="str">
        <f aca="false">IF(D202="","",IFERROR(INDEX(Calculadora!$H$11:$H$50,MATCH(D202,Calculadora!$A$11:$A$50,0)),""))</f>
        <v/>
      </c>
      <c r="N202" s="19" t="str">
        <f aca="false">IF(OR(I202="",M202=""),"",I202-G202*M202)</f>
        <v/>
      </c>
    </row>
    <row r="203" customFormat="false" ht="15" hidden="false" customHeight="false" outlineLevel="0" collapsed="false">
      <c r="A203" s="22"/>
      <c r="B203" s="16"/>
      <c r="C203" s="16"/>
      <c r="D203" s="16"/>
      <c r="E203" s="16"/>
      <c r="F203" s="16"/>
      <c r="G203" s="16"/>
      <c r="H203" s="13"/>
      <c r="I203" s="19" t="str">
        <f aca="false">IF(G203="","",G203*H203)</f>
        <v/>
      </c>
      <c r="J203" s="22"/>
      <c r="K203" s="16"/>
      <c r="L203" s="16"/>
      <c r="M203" s="19" t="str">
        <f aca="false">IF(D203="","",IFERROR(INDEX(Calculadora!$H$11:$H$50,MATCH(D203,Calculadora!$A$11:$A$50,0)),""))</f>
        <v/>
      </c>
      <c r="N203" s="19" t="str">
        <f aca="false">IF(OR(I203="",M203=""),"",I203-G203*M203)</f>
        <v/>
      </c>
    </row>
    <row r="204" customFormat="false" ht="15" hidden="false" customHeight="false" outlineLevel="0" collapsed="false">
      <c r="A204" s="22"/>
      <c r="B204" s="16"/>
      <c r="C204" s="16"/>
      <c r="D204" s="16"/>
      <c r="E204" s="16"/>
      <c r="F204" s="16"/>
      <c r="G204" s="16"/>
      <c r="H204" s="13"/>
      <c r="I204" s="19" t="str">
        <f aca="false">IF(G204="","",G204*H204)</f>
        <v/>
      </c>
      <c r="J204" s="22"/>
      <c r="K204" s="16"/>
      <c r="L204" s="16"/>
      <c r="M204" s="19" t="str">
        <f aca="false">IF(D204="","",IFERROR(INDEX(Calculadora!$H$11:$H$50,MATCH(D204,Calculadora!$A$11:$A$50,0)),""))</f>
        <v/>
      </c>
      <c r="N204" s="19" t="str">
        <f aca="false">IF(OR(I204="",M204=""),"",I204-G204*M204)</f>
        <v/>
      </c>
    </row>
    <row r="205" customFormat="false" ht="15" hidden="false" customHeight="false" outlineLevel="0" collapsed="false">
      <c r="A205" s="22"/>
      <c r="B205" s="16"/>
      <c r="C205" s="16"/>
      <c r="D205" s="16"/>
      <c r="E205" s="16"/>
      <c r="F205" s="16"/>
      <c r="G205" s="16"/>
      <c r="H205" s="13"/>
      <c r="I205" s="19" t="str">
        <f aca="false">IF(G205="","",G205*H205)</f>
        <v/>
      </c>
      <c r="J205" s="22"/>
      <c r="K205" s="16"/>
      <c r="L205" s="16"/>
      <c r="M205" s="19" t="str">
        <f aca="false">IF(D205="","",IFERROR(INDEX(Calculadora!$H$11:$H$50,MATCH(D205,Calculadora!$A$11:$A$50,0)),""))</f>
        <v/>
      </c>
      <c r="N205" s="19" t="str">
        <f aca="false">IF(OR(I205="",M205=""),"",I205-G205*M205)</f>
        <v/>
      </c>
    </row>
    <row r="206" customFormat="false" ht="15" hidden="false" customHeight="false" outlineLevel="0" collapsed="false">
      <c r="A206" s="22"/>
      <c r="B206" s="16"/>
      <c r="C206" s="16"/>
      <c r="D206" s="16"/>
      <c r="E206" s="16"/>
      <c r="F206" s="16"/>
      <c r="G206" s="16"/>
      <c r="H206" s="13"/>
      <c r="I206" s="19" t="str">
        <f aca="false">IF(G206="","",G206*H206)</f>
        <v/>
      </c>
      <c r="J206" s="22"/>
      <c r="K206" s="16"/>
      <c r="L206" s="16"/>
      <c r="M206" s="19" t="str">
        <f aca="false">IF(D206="","",IFERROR(INDEX(Calculadora!$H$11:$H$50,MATCH(D206,Calculadora!$A$11:$A$50,0)),""))</f>
        <v/>
      </c>
      <c r="N206" s="19" t="str">
        <f aca="false">IF(OR(I206="",M206=""),"",I206-G206*M206)</f>
        <v/>
      </c>
    </row>
    <row r="207" customFormat="false" ht="15" hidden="false" customHeight="false" outlineLevel="0" collapsed="false">
      <c r="A207" s="22"/>
      <c r="B207" s="16"/>
      <c r="C207" s="16"/>
      <c r="D207" s="16"/>
      <c r="E207" s="16"/>
      <c r="F207" s="16"/>
      <c r="G207" s="16"/>
      <c r="H207" s="13"/>
      <c r="I207" s="19" t="str">
        <f aca="false">IF(G207="","",G207*H207)</f>
        <v/>
      </c>
      <c r="J207" s="22"/>
      <c r="K207" s="16"/>
      <c r="L207" s="16"/>
      <c r="M207" s="19" t="str">
        <f aca="false">IF(D207="","",IFERROR(INDEX(Calculadora!$H$11:$H$50,MATCH(D207,Calculadora!$A$11:$A$50,0)),""))</f>
        <v/>
      </c>
      <c r="N207" s="19" t="str">
        <f aca="false">IF(OR(I207="",M207=""),"",I207-G207*M207)</f>
        <v/>
      </c>
    </row>
    <row r="208" customFormat="false" ht="15" hidden="false" customHeight="false" outlineLevel="0" collapsed="false">
      <c r="A208" s="22"/>
      <c r="B208" s="16"/>
      <c r="C208" s="16"/>
      <c r="D208" s="16"/>
      <c r="E208" s="16"/>
      <c r="F208" s="16"/>
      <c r="G208" s="16"/>
      <c r="H208" s="13"/>
      <c r="I208" s="19" t="str">
        <f aca="false">IF(G208="","",G208*H208)</f>
        <v/>
      </c>
      <c r="J208" s="22"/>
      <c r="K208" s="16"/>
      <c r="L208" s="16"/>
      <c r="M208" s="19" t="str">
        <f aca="false">IF(D208="","",IFERROR(INDEX(Calculadora!$H$11:$H$50,MATCH(D208,Calculadora!$A$11:$A$50,0)),""))</f>
        <v/>
      </c>
      <c r="N208" s="19" t="str">
        <f aca="false">IF(OR(I208="",M208=""),"",I208-G208*M208)</f>
        <v/>
      </c>
    </row>
    <row r="209" customFormat="false" ht="15" hidden="false" customHeight="false" outlineLevel="0" collapsed="false">
      <c r="A209" s="22"/>
      <c r="B209" s="16"/>
      <c r="C209" s="16"/>
      <c r="D209" s="16"/>
      <c r="E209" s="16"/>
      <c r="F209" s="16"/>
      <c r="G209" s="16"/>
      <c r="H209" s="13"/>
      <c r="I209" s="19" t="str">
        <f aca="false">IF(G209="","",G209*H209)</f>
        <v/>
      </c>
      <c r="J209" s="22"/>
      <c r="K209" s="16"/>
      <c r="L209" s="16"/>
      <c r="M209" s="19" t="str">
        <f aca="false">IF(D209="","",IFERROR(INDEX(Calculadora!$H$11:$H$50,MATCH(D209,Calculadora!$A$11:$A$50,0)),""))</f>
        <v/>
      </c>
      <c r="N209" s="19" t="str">
        <f aca="false">IF(OR(I209="",M209=""),"",I209-G209*M209)</f>
        <v/>
      </c>
    </row>
    <row r="210" customFormat="false" ht="15" hidden="false" customHeight="false" outlineLevel="0" collapsed="false">
      <c r="A210" s="22"/>
      <c r="B210" s="16"/>
      <c r="C210" s="16"/>
      <c r="D210" s="16"/>
      <c r="E210" s="16"/>
      <c r="F210" s="16"/>
      <c r="G210" s="16"/>
      <c r="H210" s="13"/>
      <c r="I210" s="19" t="str">
        <f aca="false">IF(G210="","",G210*H210)</f>
        <v/>
      </c>
      <c r="J210" s="22"/>
      <c r="K210" s="16"/>
      <c r="L210" s="16"/>
      <c r="M210" s="19" t="str">
        <f aca="false">IF(D210="","",IFERROR(INDEX(Calculadora!$H$11:$H$50,MATCH(D210,Calculadora!$A$11:$A$50,0)),""))</f>
        <v/>
      </c>
      <c r="N210" s="19" t="str">
        <f aca="false">IF(OR(I210="",M210=""),"",I210-G210*M210)</f>
        <v/>
      </c>
    </row>
    <row r="211" customFormat="false" ht="15" hidden="false" customHeight="false" outlineLevel="0" collapsed="false">
      <c r="A211" s="22"/>
      <c r="B211" s="16"/>
      <c r="C211" s="16"/>
      <c r="D211" s="16"/>
      <c r="E211" s="16"/>
      <c r="F211" s="16"/>
      <c r="G211" s="16"/>
      <c r="H211" s="13"/>
      <c r="I211" s="19" t="str">
        <f aca="false">IF(G211="","",G211*H211)</f>
        <v/>
      </c>
      <c r="J211" s="22"/>
      <c r="K211" s="16"/>
      <c r="L211" s="16"/>
      <c r="M211" s="19" t="str">
        <f aca="false">IF(D211="","",IFERROR(INDEX(Calculadora!$H$11:$H$50,MATCH(D211,Calculadora!$A$11:$A$50,0)),""))</f>
        <v/>
      </c>
      <c r="N211" s="19" t="str">
        <f aca="false">IF(OR(I211="",M211=""),"",I211-G211*M211)</f>
        <v/>
      </c>
    </row>
    <row r="212" customFormat="false" ht="15" hidden="false" customHeight="false" outlineLevel="0" collapsed="false">
      <c r="A212" s="22"/>
      <c r="B212" s="16"/>
      <c r="C212" s="16"/>
      <c r="D212" s="16"/>
      <c r="E212" s="16"/>
      <c r="F212" s="16"/>
      <c r="G212" s="16"/>
      <c r="H212" s="13"/>
      <c r="I212" s="19" t="str">
        <f aca="false">IF(G212="","",G212*H212)</f>
        <v/>
      </c>
      <c r="J212" s="22"/>
      <c r="K212" s="16"/>
      <c r="L212" s="16"/>
      <c r="M212" s="19" t="str">
        <f aca="false">IF(D212="","",IFERROR(INDEX(Calculadora!$H$11:$H$50,MATCH(D212,Calculadora!$A$11:$A$50,0)),""))</f>
        <v/>
      </c>
      <c r="N212" s="19" t="str">
        <f aca="false">IF(OR(I212="",M212=""),"",I212-G212*M212)</f>
        <v/>
      </c>
    </row>
    <row r="213" customFormat="false" ht="15" hidden="false" customHeight="false" outlineLevel="0" collapsed="false">
      <c r="A213" s="22"/>
      <c r="B213" s="16"/>
      <c r="C213" s="16"/>
      <c r="D213" s="16"/>
      <c r="E213" s="16"/>
      <c r="F213" s="16"/>
      <c r="G213" s="16"/>
      <c r="H213" s="13"/>
      <c r="I213" s="19" t="str">
        <f aca="false">IF(G213="","",G213*H213)</f>
        <v/>
      </c>
      <c r="J213" s="22"/>
      <c r="K213" s="16"/>
      <c r="L213" s="16"/>
      <c r="M213" s="19" t="str">
        <f aca="false">IF(D213="","",IFERROR(INDEX(Calculadora!$H$11:$H$50,MATCH(D213,Calculadora!$A$11:$A$50,0)),""))</f>
        <v/>
      </c>
      <c r="N213" s="19" t="str">
        <f aca="false">IF(OR(I213="",M213=""),"",I213-G213*M213)</f>
        <v/>
      </c>
    </row>
    <row r="214" customFormat="false" ht="15" hidden="false" customHeight="false" outlineLevel="0" collapsed="false">
      <c r="A214" s="22"/>
      <c r="B214" s="16"/>
      <c r="C214" s="16"/>
      <c r="D214" s="16"/>
      <c r="E214" s="16"/>
      <c r="F214" s="16"/>
      <c r="G214" s="16"/>
      <c r="H214" s="13"/>
      <c r="I214" s="19" t="str">
        <f aca="false">IF(G214="","",G214*H214)</f>
        <v/>
      </c>
      <c r="J214" s="22"/>
      <c r="K214" s="16"/>
      <c r="L214" s="16"/>
      <c r="M214" s="19" t="str">
        <f aca="false">IF(D214="","",IFERROR(INDEX(Calculadora!$H$11:$H$50,MATCH(D214,Calculadora!$A$11:$A$50,0)),""))</f>
        <v/>
      </c>
      <c r="N214" s="19" t="str">
        <f aca="false">IF(OR(I214="",M214=""),"",I214-G214*M214)</f>
        <v/>
      </c>
    </row>
    <row r="215" customFormat="false" ht="15" hidden="false" customHeight="false" outlineLevel="0" collapsed="false">
      <c r="A215" s="22"/>
      <c r="B215" s="16"/>
      <c r="C215" s="16"/>
      <c r="D215" s="16"/>
      <c r="E215" s="16"/>
      <c r="F215" s="16"/>
      <c r="G215" s="16"/>
      <c r="H215" s="13"/>
      <c r="I215" s="19" t="str">
        <f aca="false">IF(G215="","",G215*H215)</f>
        <v/>
      </c>
      <c r="J215" s="22"/>
      <c r="K215" s="16"/>
      <c r="L215" s="16"/>
      <c r="M215" s="19" t="str">
        <f aca="false">IF(D215="","",IFERROR(INDEX(Calculadora!$H$11:$H$50,MATCH(D215,Calculadora!$A$11:$A$50,0)),""))</f>
        <v/>
      </c>
      <c r="N215" s="19" t="str">
        <f aca="false">IF(OR(I215="",M215=""),"",I215-G215*M215)</f>
        <v/>
      </c>
    </row>
    <row r="216" customFormat="false" ht="15" hidden="false" customHeight="false" outlineLevel="0" collapsed="false">
      <c r="A216" s="22"/>
      <c r="B216" s="16"/>
      <c r="C216" s="16"/>
      <c r="D216" s="16"/>
      <c r="E216" s="16"/>
      <c r="F216" s="16"/>
      <c r="G216" s="16"/>
      <c r="H216" s="13"/>
      <c r="I216" s="19" t="str">
        <f aca="false">IF(G216="","",G216*H216)</f>
        <v/>
      </c>
      <c r="J216" s="22"/>
      <c r="K216" s="16"/>
      <c r="L216" s="16"/>
      <c r="M216" s="19" t="str">
        <f aca="false">IF(D216="","",IFERROR(INDEX(Calculadora!$H$11:$H$50,MATCH(D216,Calculadora!$A$11:$A$50,0)),""))</f>
        <v/>
      </c>
      <c r="N216" s="19" t="str">
        <f aca="false">IF(OR(I216="",M216=""),"",I216-G216*M216)</f>
        <v/>
      </c>
    </row>
    <row r="217" customFormat="false" ht="15" hidden="false" customHeight="false" outlineLevel="0" collapsed="false">
      <c r="A217" s="22"/>
      <c r="B217" s="16"/>
      <c r="C217" s="16"/>
      <c r="D217" s="16"/>
      <c r="E217" s="16"/>
      <c r="F217" s="16"/>
      <c r="G217" s="16"/>
      <c r="H217" s="13"/>
      <c r="I217" s="19" t="str">
        <f aca="false">IF(G217="","",G217*H217)</f>
        <v/>
      </c>
      <c r="J217" s="22"/>
      <c r="K217" s="16"/>
      <c r="L217" s="16"/>
      <c r="M217" s="19" t="str">
        <f aca="false">IF(D217="","",IFERROR(INDEX(Calculadora!$H$11:$H$50,MATCH(D217,Calculadora!$A$11:$A$50,0)),""))</f>
        <v/>
      </c>
      <c r="N217" s="19" t="str">
        <f aca="false">IF(OR(I217="",M217=""),"",I217-G217*M217)</f>
        <v/>
      </c>
    </row>
    <row r="218" customFormat="false" ht="15" hidden="false" customHeight="false" outlineLevel="0" collapsed="false">
      <c r="A218" s="22"/>
      <c r="B218" s="16"/>
      <c r="C218" s="16"/>
      <c r="D218" s="16"/>
      <c r="E218" s="16"/>
      <c r="F218" s="16"/>
      <c r="G218" s="16"/>
      <c r="H218" s="13"/>
      <c r="I218" s="19" t="str">
        <f aca="false">IF(G218="","",G218*H218)</f>
        <v/>
      </c>
      <c r="J218" s="22"/>
      <c r="K218" s="16"/>
      <c r="L218" s="16"/>
      <c r="M218" s="19" t="str">
        <f aca="false">IF(D218="","",IFERROR(INDEX(Calculadora!$H$11:$H$50,MATCH(D218,Calculadora!$A$11:$A$50,0)),""))</f>
        <v/>
      </c>
      <c r="N218" s="19" t="str">
        <f aca="false">IF(OR(I218="",M218=""),"",I218-G218*M218)</f>
        <v/>
      </c>
    </row>
    <row r="219" customFormat="false" ht="15" hidden="false" customHeight="false" outlineLevel="0" collapsed="false">
      <c r="A219" s="22"/>
      <c r="B219" s="16"/>
      <c r="C219" s="16"/>
      <c r="D219" s="16"/>
      <c r="E219" s="16"/>
      <c r="F219" s="16"/>
      <c r="G219" s="16"/>
      <c r="H219" s="13"/>
      <c r="I219" s="19" t="str">
        <f aca="false">IF(G219="","",G219*H219)</f>
        <v/>
      </c>
      <c r="J219" s="22"/>
      <c r="K219" s="16"/>
      <c r="L219" s="16"/>
      <c r="M219" s="19" t="str">
        <f aca="false">IF(D219="","",IFERROR(INDEX(Calculadora!$H$11:$H$50,MATCH(D219,Calculadora!$A$11:$A$50,0)),""))</f>
        <v/>
      </c>
      <c r="N219" s="19" t="str">
        <f aca="false">IF(OR(I219="",M219=""),"",I219-G219*M219)</f>
        <v/>
      </c>
    </row>
    <row r="220" customFormat="false" ht="15" hidden="false" customHeight="false" outlineLevel="0" collapsed="false">
      <c r="A220" s="22"/>
      <c r="B220" s="16"/>
      <c r="C220" s="16"/>
      <c r="D220" s="16"/>
      <c r="E220" s="16"/>
      <c r="F220" s="16"/>
      <c r="G220" s="16"/>
      <c r="H220" s="13"/>
      <c r="I220" s="19" t="str">
        <f aca="false">IF(G220="","",G220*H220)</f>
        <v/>
      </c>
      <c r="J220" s="22"/>
      <c r="K220" s="16"/>
      <c r="L220" s="16"/>
      <c r="M220" s="19" t="str">
        <f aca="false">IF(D220="","",IFERROR(INDEX(Calculadora!$H$11:$H$50,MATCH(D220,Calculadora!$A$11:$A$50,0)),""))</f>
        <v/>
      </c>
      <c r="N220" s="19" t="str">
        <f aca="false">IF(OR(I220="",M220=""),"",I220-G220*M220)</f>
        <v/>
      </c>
    </row>
    <row r="221" customFormat="false" ht="15" hidden="false" customHeight="false" outlineLevel="0" collapsed="false">
      <c r="A221" s="22"/>
      <c r="B221" s="16"/>
      <c r="C221" s="16"/>
      <c r="D221" s="16"/>
      <c r="E221" s="16"/>
      <c r="F221" s="16"/>
      <c r="G221" s="16"/>
      <c r="H221" s="13"/>
      <c r="I221" s="19" t="str">
        <f aca="false">IF(G221="","",G221*H221)</f>
        <v/>
      </c>
      <c r="J221" s="22"/>
      <c r="K221" s="16"/>
      <c r="L221" s="16"/>
      <c r="M221" s="19" t="str">
        <f aca="false">IF(D221="","",IFERROR(INDEX(Calculadora!$H$11:$H$50,MATCH(D221,Calculadora!$A$11:$A$50,0)),""))</f>
        <v/>
      </c>
      <c r="N221" s="19" t="str">
        <f aca="false">IF(OR(I221="",M221=""),"",I221-G221*M221)</f>
        <v/>
      </c>
    </row>
    <row r="222" customFormat="false" ht="15" hidden="false" customHeight="false" outlineLevel="0" collapsed="false">
      <c r="A222" s="22"/>
      <c r="B222" s="16"/>
      <c r="C222" s="16"/>
      <c r="D222" s="16"/>
      <c r="E222" s="16"/>
      <c r="F222" s="16"/>
      <c r="G222" s="16"/>
      <c r="H222" s="13"/>
      <c r="I222" s="19" t="str">
        <f aca="false">IF(G222="","",G222*H222)</f>
        <v/>
      </c>
      <c r="J222" s="22"/>
      <c r="K222" s="16"/>
      <c r="L222" s="16"/>
      <c r="M222" s="19" t="str">
        <f aca="false">IF(D222="","",IFERROR(INDEX(Calculadora!$H$11:$H$50,MATCH(D222,Calculadora!$A$11:$A$50,0)),""))</f>
        <v/>
      </c>
      <c r="N222" s="19" t="str">
        <f aca="false">IF(OR(I222="",M222=""),"",I222-G222*M222)</f>
        <v/>
      </c>
    </row>
    <row r="223" customFormat="false" ht="15" hidden="false" customHeight="false" outlineLevel="0" collapsed="false">
      <c r="A223" s="22"/>
      <c r="B223" s="16"/>
      <c r="C223" s="16"/>
      <c r="D223" s="16"/>
      <c r="E223" s="16"/>
      <c r="F223" s="16"/>
      <c r="G223" s="16"/>
      <c r="H223" s="13"/>
      <c r="I223" s="19" t="str">
        <f aca="false">IF(G223="","",G223*H223)</f>
        <v/>
      </c>
      <c r="J223" s="22"/>
      <c r="K223" s="16"/>
      <c r="L223" s="16"/>
      <c r="M223" s="19" t="str">
        <f aca="false">IF(D223="","",IFERROR(INDEX(Calculadora!$H$11:$H$50,MATCH(D223,Calculadora!$A$11:$A$50,0)),""))</f>
        <v/>
      </c>
      <c r="N223" s="19" t="str">
        <f aca="false">IF(OR(I223="",M223=""),"",I223-G223*M223)</f>
        <v/>
      </c>
    </row>
    <row r="224" customFormat="false" ht="15" hidden="false" customHeight="false" outlineLevel="0" collapsed="false">
      <c r="A224" s="22"/>
      <c r="B224" s="16"/>
      <c r="C224" s="16"/>
      <c r="D224" s="16"/>
      <c r="E224" s="16"/>
      <c r="F224" s="16"/>
      <c r="G224" s="16"/>
      <c r="H224" s="13"/>
      <c r="I224" s="19" t="str">
        <f aca="false">IF(G224="","",G224*H224)</f>
        <v/>
      </c>
      <c r="J224" s="22"/>
      <c r="K224" s="16"/>
      <c r="L224" s="16"/>
      <c r="M224" s="19" t="str">
        <f aca="false">IF(D224="","",IFERROR(INDEX(Calculadora!$H$11:$H$50,MATCH(D224,Calculadora!$A$11:$A$50,0)),""))</f>
        <v/>
      </c>
      <c r="N224" s="19" t="str">
        <f aca="false">IF(OR(I224="",M224=""),"",I224-G224*M224)</f>
        <v/>
      </c>
    </row>
    <row r="225" customFormat="false" ht="15" hidden="false" customHeight="false" outlineLevel="0" collapsed="false">
      <c r="A225" s="22"/>
      <c r="B225" s="16"/>
      <c r="C225" s="16"/>
      <c r="D225" s="16"/>
      <c r="E225" s="16"/>
      <c r="F225" s="16"/>
      <c r="G225" s="16"/>
      <c r="H225" s="13"/>
      <c r="I225" s="19" t="str">
        <f aca="false">IF(G225="","",G225*H225)</f>
        <v/>
      </c>
      <c r="J225" s="22"/>
      <c r="K225" s="16"/>
      <c r="L225" s="16"/>
      <c r="M225" s="19" t="str">
        <f aca="false">IF(D225="","",IFERROR(INDEX(Calculadora!$H$11:$H$50,MATCH(D225,Calculadora!$A$11:$A$50,0)),""))</f>
        <v/>
      </c>
      <c r="N225" s="19" t="str">
        <f aca="false">IF(OR(I225="",M225=""),"",I225-G225*M225)</f>
        <v/>
      </c>
    </row>
    <row r="226" customFormat="false" ht="15" hidden="false" customHeight="false" outlineLevel="0" collapsed="false">
      <c r="A226" s="22"/>
      <c r="B226" s="16"/>
      <c r="C226" s="16"/>
      <c r="D226" s="16"/>
      <c r="E226" s="16"/>
      <c r="F226" s="16"/>
      <c r="G226" s="16"/>
      <c r="H226" s="13"/>
      <c r="I226" s="19" t="str">
        <f aca="false">IF(G226="","",G226*H226)</f>
        <v/>
      </c>
      <c r="J226" s="22"/>
      <c r="K226" s="16"/>
      <c r="L226" s="16"/>
      <c r="M226" s="19" t="str">
        <f aca="false">IF(D226="","",IFERROR(INDEX(Calculadora!$H$11:$H$50,MATCH(D226,Calculadora!$A$11:$A$50,0)),""))</f>
        <v/>
      </c>
      <c r="N226" s="19" t="str">
        <f aca="false">IF(OR(I226="",M226=""),"",I226-G226*M226)</f>
        <v/>
      </c>
    </row>
    <row r="227" customFormat="false" ht="15" hidden="false" customHeight="false" outlineLevel="0" collapsed="false">
      <c r="A227" s="22"/>
      <c r="B227" s="16"/>
      <c r="C227" s="16"/>
      <c r="D227" s="16"/>
      <c r="E227" s="16"/>
      <c r="F227" s="16"/>
      <c r="G227" s="16"/>
      <c r="H227" s="13"/>
      <c r="I227" s="19" t="str">
        <f aca="false">IF(G227="","",G227*H227)</f>
        <v/>
      </c>
      <c r="J227" s="22"/>
      <c r="K227" s="16"/>
      <c r="L227" s="16"/>
      <c r="M227" s="19" t="str">
        <f aca="false">IF(D227="","",IFERROR(INDEX(Calculadora!$H$11:$H$50,MATCH(D227,Calculadora!$A$11:$A$50,0)),""))</f>
        <v/>
      </c>
      <c r="N227" s="19" t="str">
        <f aca="false">IF(OR(I227="",M227=""),"",I227-G227*M227)</f>
        <v/>
      </c>
    </row>
    <row r="228" customFormat="false" ht="15" hidden="false" customHeight="false" outlineLevel="0" collapsed="false">
      <c r="A228" s="22"/>
      <c r="B228" s="16"/>
      <c r="C228" s="16"/>
      <c r="D228" s="16"/>
      <c r="E228" s="16"/>
      <c r="F228" s="16"/>
      <c r="G228" s="16"/>
      <c r="H228" s="13"/>
      <c r="I228" s="19" t="str">
        <f aca="false">IF(G228="","",G228*H228)</f>
        <v/>
      </c>
      <c r="J228" s="22"/>
      <c r="K228" s="16"/>
      <c r="L228" s="16"/>
      <c r="M228" s="19" t="str">
        <f aca="false">IF(D228="","",IFERROR(INDEX(Calculadora!$H$11:$H$50,MATCH(D228,Calculadora!$A$11:$A$50,0)),""))</f>
        <v/>
      </c>
      <c r="N228" s="19" t="str">
        <f aca="false">IF(OR(I228="",M228=""),"",I228-G228*M228)</f>
        <v/>
      </c>
    </row>
    <row r="229" customFormat="false" ht="15" hidden="false" customHeight="false" outlineLevel="0" collapsed="false">
      <c r="A229" s="22"/>
      <c r="B229" s="16"/>
      <c r="C229" s="16"/>
      <c r="D229" s="16"/>
      <c r="E229" s="16"/>
      <c r="F229" s="16"/>
      <c r="G229" s="16"/>
      <c r="H229" s="13"/>
      <c r="I229" s="19" t="str">
        <f aca="false">IF(G229="","",G229*H229)</f>
        <v/>
      </c>
      <c r="J229" s="22"/>
      <c r="K229" s="16"/>
      <c r="L229" s="16"/>
      <c r="M229" s="19" t="str">
        <f aca="false">IF(D229="","",IFERROR(INDEX(Calculadora!$H$11:$H$50,MATCH(D229,Calculadora!$A$11:$A$50,0)),""))</f>
        <v/>
      </c>
      <c r="N229" s="19" t="str">
        <f aca="false">IF(OR(I229="",M229=""),"",I229-G229*M229)</f>
        <v/>
      </c>
    </row>
    <row r="230" customFormat="false" ht="15" hidden="false" customHeight="false" outlineLevel="0" collapsed="false">
      <c r="A230" s="22"/>
      <c r="B230" s="16"/>
      <c r="C230" s="16"/>
      <c r="D230" s="16"/>
      <c r="E230" s="16"/>
      <c r="F230" s="16"/>
      <c r="G230" s="16"/>
      <c r="H230" s="13"/>
      <c r="I230" s="19" t="str">
        <f aca="false">IF(G230="","",G230*H230)</f>
        <v/>
      </c>
      <c r="J230" s="22"/>
      <c r="K230" s="16"/>
      <c r="L230" s="16"/>
      <c r="M230" s="19" t="str">
        <f aca="false">IF(D230="","",IFERROR(INDEX(Calculadora!$H$11:$H$50,MATCH(D230,Calculadora!$A$11:$A$50,0)),""))</f>
        <v/>
      </c>
      <c r="N230" s="19" t="str">
        <f aca="false">IF(OR(I230="",M230=""),"",I230-G230*M230)</f>
        <v/>
      </c>
    </row>
    <row r="231" customFormat="false" ht="15" hidden="false" customHeight="false" outlineLevel="0" collapsed="false">
      <c r="A231" s="22"/>
      <c r="B231" s="16"/>
      <c r="C231" s="16"/>
      <c r="D231" s="16"/>
      <c r="E231" s="16"/>
      <c r="F231" s="16"/>
      <c r="G231" s="16"/>
      <c r="H231" s="13"/>
      <c r="I231" s="19" t="str">
        <f aca="false">IF(G231="","",G231*H231)</f>
        <v/>
      </c>
      <c r="J231" s="22"/>
      <c r="K231" s="16"/>
      <c r="L231" s="16"/>
      <c r="M231" s="19" t="str">
        <f aca="false">IF(D231="","",IFERROR(INDEX(Calculadora!$H$11:$H$50,MATCH(D231,Calculadora!$A$11:$A$50,0)),""))</f>
        <v/>
      </c>
      <c r="N231" s="19" t="str">
        <f aca="false">IF(OR(I231="",M231=""),"",I231-G231*M231)</f>
        <v/>
      </c>
    </row>
    <row r="232" customFormat="false" ht="15" hidden="false" customHeight="false" outlineLevel="0" collapsed="false">
      <c r="A232" s="22"/>
      <c r="B232" s="16"/>
      <c r="C232" s="16"/>
      <c r="D232" s="16"/>
      <c r="E232" s="16"/>
      <c r="F232" s="16"/>
      <c r="G232" s="16"/>
      <c r="H232" s="13"/>
      <c r="I232" s="19" t="str">
        <f aca="false">IF(G232="","",G232*H232)</f>
        <v/>
      </c>
      <c r="J232" s="22"/>
      <c r="K232" s="16"/>
      <c r="L232" s="16"/>
      <c r="M232" s="19" t="str">
        <f aca="false">IF(D232="","",IFERROR(INDEX(Calculadora!$H$11:$H$50,MATCH(D232,Calculadora!$A$11:$A$50,0)),""))</f>
        <v/>
      </c>
      <c r="N232" s="19" t="str">
        <f aca="false">IF(OR(I232="",M232=""),"",I232-G232*M232)</f>
        <v/>
      </c>
    </row>
    <row r="233" customFormat="false" ht="15" hidden="false" customHeight="false" outlineLevel="0" collapsed="false">
      <c r="A233" s="22"/>
      <c r="B233" s="16"/>
      <c r="C233" s="16"/>
      <c r="D233" s="16"/>
      <c r="E233" s="16"/>
      <c r="F233" s="16"/>
      <c r="G233" s="16"/>
      <c r="H233" s="13"/>
      <c r="I233" s="19" t="str">
        <f aca="false">IF(G233="","",G233*H233)</f>
        <v/>
      </c>
      <c r="J233" s="22"/>
      <c r="K233" s="16"/>
      <c r="L233" s="16"/>
      <c r="M233" s="19" t="str">
        <f aca="false">IF(D233="","",IFERROR(INDEX(Calculadora!$H$11:$H$50,MATCH(D233,Calculadora!$A$11:$A$50,0)),""))</f>
        <v/>
      </c>
      <c r="N233" s="19" t="str">
        <f aca="false">IF(OR(I233="",M233=""),"",I233-G233*M233)</f>
        <v/>
      </c>
    </row>
    <row r="234" customFormat="false" ht="15" hidden="false" customHeight="false" outlineLevel="0" collapsed="false">
      <c r="A234" s="22"/>
      <c r="B234" s="16"/>
      <c r="C234" s="16"/>
      <c r="D234" s="16"/>
      <c r="E234" s="16"/>
      <c r="F234" s="16"/>
      <c r="G234" s="16"/>
      <c r="H234" s="13"/>
      <c r="I234" s="19" t="str">
        <f aca="false">IF(G234="","",G234*H234)</f>
        <v/>
      </c>
      <c r="J234" s="22"/>
      <c r="K234" s="16"/>
      <c r="L234" s="16"/>
      <c r="M234" s="19" t="str">
        <f aca="false">IF(D234="","",IFERROR(INDEX(Calculadora!$H$11:$H$50,MATCH(D234,Calculadora!$A$11:$A$50,0)),""))</f>
        <v/>
      </c>
      <c r="N234" s="19" t="str">
        <f aca="false">IF(OR(I234="",M234=""),"",I234-G234*M234)</f>
        <v/>
      </c>
    </row>
    <row r="235" customFormat="false" ht="15" hidden="false" customHeight="false" outlineLevel="0" collapsed="false">
      <c r="A235" s="22"/>
      <c r="B235" s="16"/>
      <c r="C235" s="16"/>
      <c r="D235" s="16"/>
      <c r="E235" s="16"/>
      <c r="F235" s="16"/>
      <c r="G235" s="16"/>
      <c r="H235" s="13"/>
      <c r="I235" s="19" t="str">
        <f aca="false">IF(G235="","",G235*H235)</f>
        <v/>
      </c>
      <c r="J235" s="22"/>
      <c r="K235" s="16"/>
      <c r="L235" s="16"/>
      <c r="M235" s="19" t="str">
        <f aca="false">IF(D235="","",IFERROR(INDEX(Calculadora!$H$11:$H$50,MATCH(D235,Calculadora!$A$11:$A$50,0)),""))</f>
        <v/>
      </c>
      <c r="N235" s="19" t="str">
        <f aca="false">IF(OR(I235="",M235=""),"",I235-G235*M235)</f>
        <v/>
      </c>
    </row>
    <row r="236" customFormat="false" ht="15" hidden="false" customHeight="false" outlineLevel="0" collapsed="false">
      <c r="A236" s="22"/>
      <c r="B236" s="16"/>
      <c r="C236" s="16"/>
      <c r="D236" s="16"/>
      <c r="E236" s="16"/>
      <c r="F236" s="16"/>
      <c r="G236" s="16"/>
      <c r="H236" s="13"/>
      <c r="I236" s="19" t="str">
        <f aca="false">IF(G236="","",G236*H236)</f>
        <v/>
      </c>
      <c r="J236" s="22"/>
      <c r="K236" s="16"/>
      <c r="L236" s="16"/>
      <c r="M236" s="19" t="str">
        <f aca="false">IF(D236="","",IFERROR(INDEX(Calculadora!$H$11:$H$50,MATCH(D236,Calculadora!$A$11:$A$50,0)),""))</f>
        <v/>
      </c>
      <c r="N236" s="19" t="str">
        <f aca="false">IF(OR(I236="",M236=""),"",I236-G236*M236)</f>
        <v/>
      </c>
    </row>
    <row r="237" customFormat="false" ht="15" hidden="false" customHeight="false" outlineLevel="0" collapsed="false">
      <c r="A237" s="22"/>
      <c r="B237" s="16"/>
      <c r="C237" s="16"/>
      <c r="D237" s="16"/>
      <c r="E237" s="16"/>
      <c r="F237" s="16"/>
      <c r="G237" s="16"/>
      <c r="H237" s="13"/>
      <c r="I237" s="19" t="str">
        <f aca="false">IF(G237="","",G237*H237)</f>
        <v/>
      </c>
      <c r="J237" s="22"/>
      <c r="K237" s="16"/>
      <c r="L237" s="16"/>
      <c r="M237" s="19" t="str">
        <f aca="false">IF(D237="","",IFERROR(INDEX(Calculadora!$H$11:$H$50,MATCH(D237,Calculadora!$A$11:$A$50,0)),""))</f>
        <v/>
      </c>
      <c r="N237" s="19" t="str">
        <f aca="false">IF(OR(I237="",M237=""),"",I237-G237*M237)</f>
        <v/>
      </c>
    </row>
    <row r="238" customFormat="false" ht="15" hidden="false" customHeight="false" outlineLevel="0" collapsed="false">
      <c r="A238" s="22"/>
      <c r="B238" s="16"/>
      <c r="C238" s="16"/>
      <c r="D238" s="16"/>
      <c r="E238" s="16"/>
      <c r="F238" s="16"/>
      <c r="G238" s="16"/>
      <c r="H238" s="13"/>
      <c r="I238" s="19" t="str">
        <f aca="false">IF(G238="","",G238*H238)</f>
        <v/>
      </c>
      <c r="J238" s="22"/>
      <c r="K238" s="16"/>
      <c r="L238" s="16"/>
      <c r="M238" s="19" t="str">
        <f aca="false">IF(D238="","",IFERROR(INDEX(Calculadora!$H$11:$H$50,MATCH(D238,Calculadora!$A$11:$A$50,0)),""))</f>
        <v/>
      </c>
      <c r="N238" s="19" t="str">
        <f aca="false">IF(OR(I238="",M238=""),"",I238-G238*M238)</f>
        <v/>
      </c>
    </row>
    <row r="239" customFormat="false" ht="15" hidden="false" customHeight="false" outlineLevel="0" collapsed="false">
      <c r="A239" s="22"/>
      <c r="B239" s="16"/>
      <c r="C239" s="16"/>
      <c r="D239" s="16"/>
      <c r="E239" s="16"/>
      <c r="F239" s="16"/>
      <c r="G239" s="16"/>
      <c r="H239" s="13"/>
      <c r="I239" s="19" t="str">
        <f aca="false">IF(G239="","",G239*H239)</f>
        <v/>
      </c>
      <c r="J239" s="22"/>
      <c r="K239" s="16"/>
      <c r="L239" s="16"/>
      <c r="M239" s="19" t="str">
        <f aca="false">IF(D239="","",IFERROR(INDEX(Calculadora!$H$11:$H$50,MATCH(D239,Calculadora!$A$11:$A$50,0)),""))</f>
        <v/>
      </c>
      <c r="N239" s="19" t="str">
        <f aca="false">IF(OR(I239="",M239=""),"",I239-G239*M239)</f>
        <v/>
      </c>
    </row>
    <row r="240" customFormat="false" ht="15" hidden="false" customHeight="false" outlineLevel="0" collapsed="false">
      <c r="A240" s="22"/>
      <c r="B240" s="16"/>
      <c r="C240" s="16"/>
      <c r="D240" s="16"/>
      <c r="E240" s="16"/>
      <c r="F240" s="16"/>
      <c r="G240" s="16"/>
      <c r="H240" s="13"/>
      <c r="I240" s="19" t="str">
        <f aca="false">IF(G240="","",G240*H240)</f>
        <v/>
      </c>
      <c r="J240" s="22"/>
      <c r="K240" s="16"/>
      <c r="L240" s="16"/>
      <c r="M240" s="19" t="str">
        <f aca="false">IF(D240="","",IFERROR(INDEX(Calculadora!$H$11:$H$50,MATCH(D240,Calculadora!$A$11:$A$50,0)),""))</f>
        <v/>
      </c>
      <c r="N240" s="19" t="str">
        <f aca="false">IF(OR(I240="",M240=""),"",I240-G240*M240)</f>
        <v/>
      </c>
    </row>
    <row r="241" customFormat="false" ht="15" hidden="false" customHeight="false" outlineLevel="0" collapsed="false">
      <c r="A241" s="22"/>
      <c r="B241" s="16"/>
      <c r="C241" s="16"/>
      <c r="D241" s="16"/>
      <c r="E241" s="16"/>
      <c r="F241" s="16"/>
      <c r="G241" s="16"/>
      <c r="H241" s="13"/>
      <c r="I241" s="19" t="str">
        <f aca="false">IF(G241="","",G241*H241)</f>
        <v/>
      </c>
      <c r="J241" s="22"/>
      <c r="K241" s="16"/>
      <c r="L241" s="16"/>
      <c r="M241" s="19" t="str">
        <f aca="false">IF(D241="","",IFERROR(INDEX(Calculadora!$H$11:$H$50,MATCH(D241,Calculadora!$A$11:$A$50,0)),""))</f>
        <v/>
      </c>
      <c r="N241" s="19" t="str">
        <f aca="false">IF(OR(I241="",M241=""),"",I241-G241*M241)</f>
        <v/>
      </c>
    </row>
    <row r="242" customFormat="false" ht="15" hidden="false" customHeight="false" outlineLevel="0" collapsed="false">
      <c r="A242" s="22"/>
      <c r="B242" s="16"/>
      <c r="C242" s="16"/>
      <c r="D242" s="16"/>
      <c r="E242" s="16"/>
      <c r="F242" s="16"/>
      <c r="G242" s="16"/>
      <c r="H242" s="13"/>
      <c r="I242" s="19" t="str">
        <f aca="false">IF(G242="","",G242*H242)</f>
        <v/>
      </c>
      <c r="J242" s="22"/>
      <c r="K242" s="16"/>
      <c r="L242" s="16"/>
      <c r="M242" s="19" t="str">
        <f aca="false">IF(D242="","",IFERROR(INDEX(Calculadora!$H$11:$H$50,MATCH(D242,Calculadora!$A$11:$A$50,0)),""))</f>
        <v/>
      </c>
      <c r="N242" s="19" t="str">
        <f aca="false">IF(OR(I242="",M242=""),"",I242-G242*M242)</f>
        <v/>
      </c>
    </row>
    <row r="243" customFormat="false" ht="15" hidden="false" customHeight="false" outlineLevel="0" collapsed="false">
      <c r="A243" s="22"/>
      <c r="B243" s="16"/>
      <c r="C243" s="16"/>
      <c r="D243" s="16"/>
      <c r="E243" s="16"/>
      <c r="F243" s="16"/>
      <c r="G243" s="16"/>
      <c r="H243" s="13"/>
      <c r="I243" s="19" t="str">
        <f aca="false">IF(G243="","",G243*H243)</f>
        <v/>
      </c>
      <c r="J243" s="22"/>
      <c r="K243" s="16"/>
      <c r="L243" s="16"/>
      <c r="M243" s="19" t="str">
        <f aca="false">IF(D243="","",IFERROR(INDEX(Calculadora!$H$11:$H$50,MATCH(D243,Calculadora!$A$11:$A$50,0)),""))</f>
        <v/>
      </c>
      <c r="N243" s="19" t="str">
        <f aca="false">IF(OR(I243="",M243=""),"",I243-G243*M243)</f>
        <v/>
      </c>
    </row>
    <row r="244" customFormat="false" ht="15" hidden="false" customHeight="false" outlineLevel="0" collapsed="false">
      <c r="A244" s="22"/>
      <c r="B244" s="16"/>
      <c r="C244" s="16"/>
      <c r="D244" s="16"/>
      <c r="E244" s="16"/>
      <c r="F244" s="16"/>
      <c r="G244" s="16"/>
      <c r="H244" s="13"/>
      <c r="I244" s="19" t="str">
        <f aca="false">IF(G244="","",G244*H244)</f>
        <v/>
      </c>
      <c r="J244" s="22"/>
      <c r="K244" s="16"/>
      <c r="L244" s="16"/>
      <c r="M244" s="19" t="str">
        <f aca="false">IF(D244="","",IFERROR(INDEX(Calculadora!$H$11:$H$50,MATCH(D244,Calculadora!$A$11:$A$50,0)),""))</f>
        <v/>
      </c>
      <c r="N244" s="19" t="str">
        <f aca="false">IF(OR(I244="",M244=""),"",I244-G244*M244)</f>
        <v/>
      </c>
    </row>
    <row r="245" customFormat="false" ht="15" hidden="false" customHeight="false" outlineLevel="0" collapsed="false">
      <c r="A245" s="22"/>
      <c r="B245" s="16"/>
      <c r="C245" s="16"/>
      <c r="D245" s="16"/>
      <c r="E245" s="16"/>
      <c r="F245" s="16"/>
      <c r="G245" s="16"/>
      <c r="H245" s="13"/>
      <c r="I245" s="19" t="str">
        <f aca="false">IF(G245="","",G245*H245)</f>
        <v/>
      </c>
      <c r="J245" s="22"/>
      <c r="K245" s="16"/>
      <c r="L245" s="16"/>
      <c r="M245" s="19" t="str">
        <f aca="false">IF(D245="","",IFERROR(INDEX(Calculadora!$H$11:$H$50,MATCH(D245,Calculadora!$A$11:$A$50,0)),""))</f>
        <v/>
      </c>
      <c r="N245" s="19" t="str">
        <f aca="false">IF(OR(I245="",M245=""),"",I245-G245*M245)</f>
        <v/>
      </c>
    </row>
    <row r="246" customFormat="false" ht="15" hidden="false" customHeight="false" outlineLevel="0" collapsed="false">
      <c r="A246" s="22"/>
      <c r="B246" s="16"/>
      <c r="C246" s="16"/>
      <c r="D246" s="16"/>
      <c r="E246" s="16"/>
      <c r="F246" s="16"/>
      <c r="G246" s="16"/>
      <c r="H246" s="13"/>
      <c r="I246" s="19" t="str">
        <f aca="false">IF(G246="","",G246*H246)</f>
        <v/>
      </c>
      <c r="J246" s="22"/>
      <c r="K246" s="16"/>
      <c r="L246" s="16"/>
      <c r="M246" s="19" t="str">
        <f aca="false">IF(D246="","",IFERROR(INDEX(Calculadora!$H$11:$H$50,MATCH(D246,Calculadora!$A$11:$A$50,0)),""))</f>
        <v/>
      </c>
      <c r="N246" s="19" t="str">
        <f aca="false">IF(OR(I246="",M246=""),"",I246-G246*M246)</f>
        <v/>
      </c>
    </row>
    <row r="247" customFormat="false" ht="15" hidden="false" customHeight="false" outlineLevel="0" collapsed="false">
      <c r="A247" s="22"/>
      <c r="B247" s="16"/>
      <c r="C247" s="16"/>
      <c r="D247" s="16"/>
      <c r="E247" s="16"/>
      <c r="F247" s="16"/>
      <c r="G247" s="16"/>
      <c r="H247" s="13"/>
      <c r="I247" s="19" t="str">
        <f aca="false">IF(G247="","",G247*H247)</f>
        <v/>
      </c>
      <c r="J247" s="22"/>
      <c r="K247" s="16"/>
      <c r="L247" s="16"/>
      <c r="M247" s="19" t="str">
        <f aca="false">IF(D247="","",IFERROR(INDEX(Calculadora!$H$11:$H$50,MATCH(D247,Calculadora!$A$11:$A$50,0)),""))</f>
        <v/>
      </c>
      <c r="N247" s="19" t="str">
        <f aca="false">IF(OR(I247="",M247=""),"",I247-G247*M247)</f>
        <v/>
      </c>
    </row>
    <row r="248" customFormat="false" ht="15" hidden="false" customHeight="false" outlineLevel="0" collapsed="false">
      <c r="A248" s="22"/>
      <c r="B248" s="16"/>
      <c r="C248" s="16"/>
      <c r="D248" s="16"/>
      <c r="E248" s="16"/>
      <c r="F248" s="16"/>
      <c r="G248" s="16"/>
      <c r="H248" s="13"/>
      <c r="I248" s="19" t="str">
        <f aca="false">IF(G248="","",G248*H248)</f>
        <v/>
      </c>
      <c r="J248" s="22"/>
      <c r="K248" s="16"/>
      <c r="L248" s="16"/>
      <c r="M248" s="19" t="str">
        <f aca="false">IF(D248="","",IFERROR(INDEX(Calculadora!$H$11:$H$50,MATCH(D248,Calculadora!$A$11:$A$50,0)),""))</f>
        <v/>
      </c>
      <c r="N248" s="19" t="str">
        <f aca="false">IF(OR(I248="",M248=""),"",I248-G248*M248)</f>
        <v/>
      </c>
    </row>
    <row r="249" customFormat="false" ht="15" hidden="false" customHeight="false" outlineLevel="0" collapsed="false">
      <c r="A249" s="22"/>
      <c r="B249" s="16"/>
      <c r="C249" s="16"/>
      <c r="D249" s="16"/>
      <c r="E249" s="16"/>
      <c r="F249" s="16"/>
      <c r="G249" s="16"/>
      <c r="H249" s="13"/>
      <c r="I249" s="19" t="str">
        <f aca="false">IF(G249="","",G249*H249)</f>
        <v/>
      </c>
      <c r="J249" s="22"/>
      <c r="K249" s="16"/>
      <c r="L249" s="16"/>
      <c r="M249" s="19" t="str">
        <f aca="false">IF(D249="","",IFERROR(INDEX(Calculadora!$H$11:$H$50,MATCH(D249,Calculadora!$A$11:$A$50,0)),""))</f>
        <v/>
      </c>
      <c r="N249" s="19" t="str">
        <f aca="false">IF(OR(I249="",M249=""),"",I249-G249*M249)</f>
        <v/>
      </c>
    </row>
    <row r="250" customFormat="false" ht="15" hidden="false" customHeight="false" outlineLevel="0" collapsed="false">
      <c r="A250" s="22"/>
      <c r="B250" s="16"/>
      <c r="C250" s="16"/>
      <c r="D250" s="16"/>
      <c r="E250" s="16"/>
      <c r="F250" s="16"/>
      <c r="G250" s="16"/>
      <c r="H250" s="13"/>
      <c r="I250" s="19" t="str">
        <f aca="false">IF(G250="","",G250*H250)</f>
        <v/>
      </c>
      <c r="J250" s="22"/>
      <c r="K250" s="16"/>
      <c r="L250" s="16"/>
      <c r="M250" s="19" t="str">
        <f aca="false">IF(D250="","",IFERROR(INDEX(Calculadora!$H$11:$H$50,MATCH(D250,Calculadora!$A$11:$A$50,0)),""))</f>
        <v/>
      </c>
      <c r="N250" s="19" t="str">
        <f aca="false">IF(OR(I250="",M250=""),"",I250-G250*M250)</f>
        <v/>
      </c>
    </row>
    <row r="251" customFormat="false" ht="15" hidden="false" customHeight="false" outlineLevel="0" collapsed="false">
      <c r="A251" s="22"/>
      <c r="B251" s="16"/>
      <c r="C251" s="16"/>
      <c r="D251" s="16"/>
      <c r="E251" s="16"/>
      <c r="F251" s="16"/>
      <c r="G251" s="16"/>
      <c r="H251" s="13"/>
      <c r="I251" s="19" t="str">
        <f aca="false">IF(G251="","",G251*H251)</f>
        <v/>
      </c>
      <c r="J251" s="22"/>
      <c r="K251" s="16"/>
      <c r="L251" s="16"/>
      <c r="M251" s="19" t="str">
        <f aca="false">IF(D251="","",IFERROR(INDEX(Calculadora!$H$11:$H$50,MATCH(D251,Calculadora!$A$11:$A$50,0)),""))</f>
        <v/>
      </c>
      <c r="N251" s="19" t="str">
        <f aca="false">IF(OR(I251="",M251=""),"",I251-G251*M251)</f>
        <v/>
      </c>
    </row>
    <row r="252" customFormat="false" ht="15" hidden="false" customHeight="false" outlineLevel="0" collapsed="false">
      <c r="A252" s="22"/>
      <c r="B252" s="16"/>
      <c r="C252" s="16"/>
      <c r="D252" s="16"/>
      <c r="E252" s="16"/>
      <c r="F252" s="16"/>
      <c r="G252" s="16"/>
      <c r="H252" s="13"/>
      <c r="I252" s="19" t="str">
        <f aca="false">IF(G252="","",G252*H252)</f>
        <v/>
      </c>
      <c r="J252" s="22"/>
      <c r="K252" s="16"/>
      <c r="L252" s="16"/>
      <c r="M252" s="19" t="str">
        <f aca="false">IF(D252="","",IFERROR(INDEX(Calculadora!$H$11:$H$50,MATCH(D252,Calculadora!$A$11:$A$50,0)),""))</f>
        <v/>
      </c>
      <c r="N252" s="19" t="str">
        <f aca="false">IF(OR(I252="",M252=""),"",I252-G252*M252)</f>
        <v/>
      </c>
    </row>
    <row r="253" customFormat="false" ht="15" hidden="false" customHeight="false" outlineLevel="0" collapsed="false">
      <c r="A253" s="22"/>
      <c r="B253" s="16"/>
      <c r="C253" s="16"/>
      <c r="D253" s="16"/>
      <c r="E253" s="16"/>
      <c r="F253" s="16"/>
      <c r="G253" s="16"/>
      <c r="H253" s="13"/>
      <c r="I253" s="19" t="str">
        <f aca="false">IF(G253="","",G253*H253)</f>
        <v/>
      </c>
      <c r="J253" s="22"/>
      <c r="K253" s="16"/>
      <c r="L253" s="16"/>
      <c r="M253" s="19" t="str">
        <f aca="false">IF(D253="","",IFERROR(INDEX(Calculadora!$H$11:$H$50,MATCH(D253,Calculadora!$A$11:$A$50,0)),""))</f>
        <v/>
      </c>
      <c r="N253" s="19" t="str">
        <f aca="false">IF(OR(I253="",M253=""),"",I253-G253*M253)</f>
        <v/>
      </c>
    </row>
    <row r="254" customFormat="false" ht="15" hidden="false" customHeight="false" outlineLevel="0" collapsed="false">
      <c r="A254" s="22"/>
      <c r="B254" s="16"/>
      <c r="C254" s="16"/>
      <c r="D254" s="16"/>
      <c r="E254" s="16"/>
      <c r="F254" s="16"/>
      <c r="G254" s="16"/>
      <c r="H254" s="13"/>
      <c r="I254" s="19" t="str">
        <f aca="false">IF(G254="","",G254*H254)</f>
        <v/>
      </c>
      <c r="J254" s="22"/>
      <c r="K254" s="16"/>
      <c r="L254" s="16"/>
      <c r="M254" s="19" t="str">
        <f aca="false">IF(D254="","",IFERROR(INDEX(Calculadora!$H$11:$H$50,MATCH(D254,Calculadora!$A$11:$A$50,0)),""))</f>
        <v/>
      </c>
      <c r="N254" s="19" t="str">
        <f aca="false">IF(OR(I254="",M254=""),"",I254-G254*M254)</f>
        <v/>
      </c>
    </row>
    <row r="255" customFormat="false" ht="15" hidden="false" customHeight="false" outlineLevel="0" collapsed="false">
      <c r="A255" s="22"/>
      <c r="B255" s="16"/>
      <c r="C255" s="16"/>
      <c r="D255" s="16"/>
      <c r="E255" s="16"/>
      <c r="F255" s="16"/>
      <c r="G255" s="16"/>
      <c r="H255" s="13"/>
      <c r="I255" s="19" t="str">
        <f aca="false">IF(G255="","",G255*H255)</f>
        <v/>
      </c>
      <c r="J255" s="22"/>
      <c r="K255" s="16"/>
      <c r="L255" s="16"/>
      <c r="M255" s="19" t="str">
        <f aca="false">IF(D255="","",IFERROR(INDEX(Calculadora!$H$11:$H$50,MATCH(D255,Calculadora!$A$11:$A$50,0)),""))</f>
        <v/>
      </c>
      <c r="N255" s="19" t="str">
        <f aca="false">IF(OR(I255="",M255=""),"",I255-G255*M255)</f>
        <v/>
      </c>
    </row>
    <row r="256" customFormat="false" ht="15" hidden="false" customHeight="false" outlineLevel="0" collapsed="false">
      <c r="A256" s="22"/>
      <c r="B256" s="16"/>
      <c r="C256" s="16"/>
      <c r="D256" s="16"/>
      <c r="E256" s="16"/>
      <c r="F256" s="16"/>
      <c r="G256" s="16"/>
      <c r="H256" s="13"/>
      <c r="I256" s="19" t="str">
        <f aca="false">IF(G256="","",G256*H256)</f>
        <v/>
      </c>
      <c r="J256" s="22"/>
      <c r="K256" s="16"/>
      <c r="L256" s="16"/>
      <c r="M256" s="19" t="str">
        <f aca="false">IF(D256="","",IFERROR(INDEX(Calculadora!$H$11:$H$50,MATCH(D256,Calculadora!$A$11:$A$50,0)),""))</f>
        <v/>
      </c>
      <c r="N256" s="19" t="str">
        <f aca="false">IF(OR(I256="",M256=""),"",I256-G256*M256)</f>
        <v/>
      </c>
    </row>
    <row r="257" customFormat="false" ht="15" hidden="false" customHeight="false" outlineLevel="0" collapsed="false">
      <c r="A257" s="22"/>
      <c r="B257" s="16"/>
      <c r="C257" s="16"/>
      <c r="D257" s="16"/>
      <c r="E257" s="16"/>
      <c r="F257" s="16"/>
      <c r="G257" s="16"/>
      <c r="H257" s="13"/>
      <c r="I257" s="19" t="str">
        <f aca="false">IF(G257="","",G257*H257)</f>
        <v/>
      </c>
      <c r="J257" s="22"/>
      <c r="K257" s="16"/>
      <c r="L257" s="16"/>
      <c r="M257" s="19" t="str">
        <f aca="false">IF(D257="","",IFERROR(INDEX(Calculadora!$H$11:$H$50,MATCH(D257,Calculadora!$A$11:$A$50,0)),""))</f>
        <v/>
      </c>
      <c r="N257" s="19" t="str">
        <f aca="false">IF(OR(I257="",M257=""),"",I257-G257*M257)</f>
        <v/>
      </c>
    </row>
    <row r="258" customFormat="false" ht="15" hidden="false" customHeight="false" outlineLevel="0" collapsed="false">
      <c r="A258" s="22"/>
      <c r="B258" s="16"/>
      <c r="C258" s="16"/>
      <c r="D258" s="16"/>
      <c r="E258" s="16"/>
      <c r="F258" s="16"/>
      <c r="G258" s="16"/>
      <c r="H258" s="13"/>
      <c r="I258" s="19" t="str">
        <f aca="false">IF(G258="","",G258*H258)</f>
        <v/>
      </c>
      <c r="J258" s="22"/>
      <c r="K258" s="16"/>
      <c r="L258" s="16"/>
      <c r="M258" s="19" t="str">
        <f aca="false">IF(D258="","",IFERROR(INDEX(Calculadora!$H$11:$H$50,MATCH(D258,Calculadora!$A$11:$A$50,0)),""))</f>
        <v/>
      </c>
      <c r="N258" s="19" t="str">
        <f aca="false">IF(OR(I258="",M258=""),"",I258-G258*M258)</f>
        <v/>
      </c>
    </row>
    <row r="259" customFormat="false" ht="15" hidden="false" customHeight="false" outlineLevel="0" collapsed="false">
      <c r="A259" s="22"/>
      <c r="B259" s="16"/>
      <c r="C259" s="16"/>
      <c r="D259" s="16"/>
      <c r="E259" s="16"/>
      <c r="F259" s="16"/>
      <c r="G259" s="16"/>
      <c r="H259" s="13"/>
      <c r="I259" s="19" t="str">
        <f aca="false">IF(G259="","",G259*H259)</f>
        <v/>
      </c>
      <c r="J259" s="22"/>
      <c r="K259" s="16"/>
      <c r="L259" s="16"/>
      <c r="M259" s="19" t="str">
        <f aca="false">IF(D259="","",IFERROR(INDEX(Calculadora!$H$11:$H$50,MATCH(D259,Calculadora!$A$11:$A$50,0)),""))</f>
        <v/>
      </c>
      <c r="N259" s="19" t="str">
        <f aca="false">IF(OR(I259="",M259=""),"",I259-G259*M259)</f>
        <v/>
      </c>
    </row>
    <row r="260" customFormat="false" ht="15" hidden="false" customHeight="false" outlineLevel="0" collapsed="false">
      <c r="A260" s="22"/>
      <c r="B260" s="16"/>
      <c r="C260" s="16"/>
      <c r="D260" s="16"/>
      <c r="E260" s="16"/>
      <c r="F260" s="16"/>
      <c r="G260" s="16"/>
      <c r="H260" s="13"/>
      <c r="I260" s="19" t="str">
        <f aca="false">IF(G260="","",G260*H260)</f>
        <v/>
      </c>
      <c r="J260" s="22"/>
      <c r="K260" s="16"/>
      <c r="L260" s="16"/>
      <c r="M260" s="19" t="str">
        <f aca="false">IF(D260="","",IFERROR(INDEX(Calculadora!$H$11:$H$50,MATCH(D260,Calculadora!$A$11:$A$50,0)),""))</f>
        <v/>
      </c>
      <c r="N260" s="19" t="str">
        <f aca="false">IF(OR(I260="",M260=""),"",I260-G260*M260)</f>
        <v/>
      </c>
    </row>
    <row r="261" customFormat="false" ht="15" hidden="false" customHeight="false" outlineLevel="0" collapsed="false">
      <c r="A261" s="22"/>
      <c r="B261" s="16"/>
      <c r="C261" s="16"/>
      <c r="D261" s="16"/>
      <c r="E261" s="16"/>
      <c r="F261" s="16"/>
      <c r="G261" s="16"/>
      <c r="H261" s="13"/>
      <c r="I261" s="19" t="str">
        <f aca="false">IF(G261="","",G261*H261)</f>
        <v/>
      </c>
      <c r="J261" s="22"/>
      <c r="K261" s="16"/>
      <c r="L261" s="16"/>
      <c r="M261" s="19" t="str">
        <f aca="false">IF(D261="","",IFERROR(INDEX(Calculadora!$H$11:$H$50,MATCH(D261,Calculadora!$A$11:$A$50,0)),""))</f>
        <v/>
      </c>
      <c r="N261" s="19" t="str">
        <f aca="false">IF(OR(I261="",M261=""),"",I261-G261*M261)</f>
        <v/>
      </c>
    </row>
    <row r="262" customFormat="false" ht="15" hidden="false" customHeight="false" outlineLevel="0" collapsed="false">
      <c r="A262" s="22"/>
      <c r="B262" s="16"/>
      <c r="C262" s="16"/>
      <c r="D262" s="16"/>
      <c r="E262" s="16"/>
      <c r="F262" s="16"/>
      <c r="G262" s="16"/>
      <c r="H262" s="13"/>
      <c r="I262" s="19" t="str">
        <f aca="false">IF(G262="","",G262*H262)</f>
        <v/>
      </c>
      <c r="J262" s="22"/>
      <c r="K262" s="16"/>
      <c r="L262" s="16"/>
      <c r="M262" s="19" t="str">
        <f aca="false">IF(D262="","",IFERROR(INDEX(Calculadora!$H$11:$H$50,MATCH(D262,Calculadora!$A$11:$A$50,0)),""))</f>
        <v/>
      </c>
      <c r="N262" s="19" t="str">
        <f aca="false">IF(OR(I262="",M262=""),"",I262-G262*M262)</f>
        <v/>
      </c>
    </row>
    <row r="263" customFormat="false" ht="15" hidden="false" customHeight="false" outlineLevel="0" collapsed="false">
      <c r="A263" s="22"/>
      <c r="B263" s="16"/>
      <c r="C263" s="16"/>
      <c r="D263" s="16"/>
      <c r="E263" s="16"/>
      <c r="F263" s="16"/>
      <c r="G263" s="16"/>
      <c r="H263" s="13"/>
      <c r="I263" s="19" t="str">
        <f aca="false">IF(G263="","",G263*H263)</f>
        <v/>
      </c>
      <c r="J263" s="22"/>
      <c r="K263" s="16"/>
      <c r="L263" s="16"/>
      <c r="M263" s="19" t="str">
        <f aca="false">IF(D263="","",IFERROR(INDEX(Calculadora!$H$11:$H$50,MATCH(D263,Calculadora!$A$11:$A$50,0)),""))</f>
        <v/>
      </c>
      <c r="N263" s="19" t="str">
        <f aca="false">IF(OR(I263="",M263=""),"",I263-G263*M263)</f>
        <v/>
      </c>
    </row>
    <row r="264" customFormat="false" ht="15" hidden="false" customHeight="false" outlineLevel="0" collapsed="false">
      <c r="A264" s="22"/>
      <c r="B264" s="16"/>
      <c r="C264" s="16"/>
      <c r="D264" s="16"/>
      <c r="E264" s="16"/>
      <c r="F264" s="16"/>
      <c r="G264" s="16"/>
      <c r="H264" s="13"/>
      <c r="I264" s="19" t="str">
        <f aca="false">IF(G264="","",G264*H264)</f>
        <v/>
      </c>
      <c r="J264" s="22"/>
      <c r="K264" s="16"/>
      <c r="L264" s="16"/>
      <c r="M264" s="19" t="str">
        <f aca="false">IF(D264="","",IFERROR(INDEX(Calculadora!$H$11:$H$50,MATCH(D264,Calculadora!$A$11:$A$50,0)),""))</f>
        <v/>
      </c>
      <c r="N264" s="19" t="str">
        <f aca="false">IF(OR(I264="",M264=""),"",I264-G264*M264)</f>
        <v/>
      </c>
    </row>
    <row r="265" customFormat="false" ht="15" hidden="false" customHeight="false" outlineLevel="0" collapsed="false">
      <c r="A265" s="22"/>
      <c r="B265" s="16"/>
      <c r="C265" s="16"/>
      <c r="D265" s="16"/>
      <c r="E265" s="16"/>
      <c r="F265" s="16"/>
      <c r="G265" s="16"/>
      <c r="H265" s="13"/>
      <c r="I265" s="19" t="str">
        <f aca="false">IF(G265="","",G265*H265)</f>
        <v/>
      </c>
      <c r="J265" s="22"/>
      <c r="K265" s="16"/>
      <c r="L265" s="16"/>
      <c r="M265" s="19" t="str">
        <f aca="false">IF(D265="","",IFERROR(INDEX(Calculadora!$H$11:$H$50,MATCH(D265,Calculadora!$A$11:$A$50,0)),""))</f>
        <v/>
      </c>
      <c r="N265" s="19" t="str">
        <f aca="false">IF(OR(I265="",M265=""),"",I265-G265*M265)</f>
        <v/>
      </c>
    </row>
    <row r="266" customFormat="false" ht="15" hidden="false" customHeight="false" outlineLevel="0" collapsed="false">
      <c r="A266" s="22"/>
      <c r="B266" s="16"/>
      <c r="C266" s="16"/>
      <c r="D266" s="16"/>
      <c r="E266" s="16"/>
      <c r="F266" s="16"/>
      <c r="G266" s="16"/>
      <c r="H266" s="13"/>
      <c r="I266" s="19" t="str">
        <f aca="false">IF(G266="","",G266*H266)</f>
        <v/>
      </c>
      <c r="J266" s="22"/>
      <c r="K266" s="16"/>
      <c r="L266" s="16"/>
      <c r="M266" s="19" t="str">
        <f aca="false">IF(D266="","",IFERROR(INDEX(Calculadora!$H$11:$H$50,MATCH(D266,Calculadora!$A$11:$A$50,0)),""))</f>
        <v/>
      </c>
      <c r="N266" s="19" t="str">
        <f aca="false">IF(OR(I266="",M266=""),"",I266-G266*M266)</f>
        <v/>
      </c>
    </row>
    <row r="267" customFormat="false" ht="15" hidden="false" customHeight="false" outlineLevel="0" collapsed="false">
      <c r="A267" s="22"/>
      <c r="B267" s="16"/>
      <c r="C267" s="16"/>
      <c r="D267" s="16"/>
      <c r="E267" s="16"/>
      <c r="F267" s="16"/>
      <c r="G267" s="16"/>
      <c r="H267" s="13"/>
      <c r="I267" s="19" t="str">
        <f aca="false">IF(G267="","",G267*H267)</f>
        <v/>
      </c>
      <c r="J267" s="22"/>
      <c r="K267" s="16"/>
      <c r="L267" s="16"/>
      <c r="M267" s="19" t="str">
        <f aca="false">IF(D267="","",IFERROR(INDEX(Calculadora!$H$11:$H$50,MATCH(D267,Calculadora!$A$11:$A$50,0)),""))</f>
        <v/>
      </c>
      <c r="N267" s="19" t="str">
        <f aca="false">IF(OR(I267="",M267=""),"",I267-G267*M267)</f>
        <v/>
      </c>
    </row>
    <row r="268" customFormat="false" ht="15" hidden="false" customHeight="false" outlineLevel="0" collapsed="false">
      <c r="A268" s="22"/>
      <c r="B268" s="16"/>
      <c r="C268" s="16"/>
      <c r="D268" s="16"/>
      <c r="E268" s="16"/>
      <c r="F268" s="16"/>
      <c r="G268" s="16"/>
      <c r="H268" s="13"/>
      <c r="I268" s="19" t="str">
        <f aca="false">IF(G268="","",G268*H268)</f>
        <v/>
      </c>
      <c r="J268" s="22"/>
      <c r="K268" s="16"/>
      <c r="L268" s="16"/>
      <c r="M268" s="19" t="str">
        <f aca="false">IF(D268="","",IFERROR(INDEX(Calculadora!$H$11:$H$50,MATCH(D268,Calculadora!$A$11:$A$50,0)),""))</f>
        <v/>
      </c>
      <c r="N268" s="19" t="str">
        <f aca="false">IF(OR(I268="",M268=""),"",I268-G268*M268)</f>
        <v/>
      </c>
    </row>
    <row r="269" customFormat="false" ht="15" hidden="false" customHeight="false" outlineLevel="0" collapsed="false">
      <c r="A269" s="22"/>
      <c r="B269" s="16"/>
      <c r="C269" s="16"/>
      <c r="D269" s="16"/>
      <c r="E269" s="16"/>
      <c r="F269" s="16"/>
      <c r="G269" s="16"/>
      <c r="H269" s="13"/>
      <c r="I269" s="19" t="str">
        <f aca="false">IF(G269="","",G269*H269)</f>
        <v/>
      </c>
      <c r="J269" s="22"/>
      <c r="K269" s="16"/>
      <c r="L269" s="16"/>
      <c r="M269" s="19" t="str">
        <f aca="false">IF(D269="","",IFERROR(INDEX(Calculadora!$H$11:$H$50,MATCH(D269,Calculadora!$A$11:$A$50,0)),""))</f>
        <v/>
      </c>
      <c r="N269" s="19" t="str">
        <f aca="false">IF(OR(I269="",M269=""),"",I269-G269*M269)</f>
        <v/>
      </c>
    </row>
    <row r="270" customFormat="false" ht="15" hidden="false" customHeight="false" outlineLevel="0" collapsed="false">
      <c r="A270" s="22"/>
      <c r="B270" s="16"/>
      <c r="C270" s="16"/>
      <c r="D270" s="16"/>
      <c r="E270" s="16"/>
      <c r="F270" s="16"/>
      <c r="G270" s="16"/>
      <c r="H270" s="13"/>
      <c r="I270" s="19" t="str">
        <f aca="false">IF(G270="","",G270*H270)</f>
        <v/>
      </c>
      <c r="J270" s="22"/>
      <c r="K270" s="16"/>
      <c r="L270" s="16"/>
      <c r="M270" s="19" t="str">
        <f aca="false">IF(D270="","",IFERROR(INDEX(Calculadora!$H$11:$H$50,MATCH(D270,Calculadora!$A$11:$A$50,0)),""))</f>
        <v/>
      </c>
      <c r="N270" s="19" t="str">
        <f aca="false">IF(OR(I270="",M270=""),"",I270-G270*M270)</f>
        <v/>
      </c>
    </row>
    <row r="271" customFormat="false" ht="15" hidden="false" customHeight="false" outlineLevel="0" collapsed="false">
      <c r="A271" s="22"/>
      <c r="B271" s="16"/>
      <c r="C271" s="16"/>
      <c r="D271" s="16"/>
      <c r="E271" s="16"/>
      <c r="F271" s="16"/>
      <c r="G271" s="16"/>
      <c r="H271" s="13"/>
      <c r="I271" s="19" t="str">
        <f aca="false">IF(G271="","",G271*H271)</f>
        <v/>
      </c>
      <c r="J271" s="22"/>
      <c r="K271" s="16"/>
      <c r="L271" s="16"/>
      <c r="M271" s="19" t="str">
        <f aca="false">IF(D271="","",IFERROR(INDEX(Calculadora!$H$11:$H$50,MATCH(D271,Calculadora!$A$11:$A$50,0)),""))</f>
        <v/>
      </c>
      <c r="N271" s="19" t="str">
        <f aca="false">IF(OR(I271="",M271=""),"",I271-G271*M271)</f>
        <v/>
      </c>
    </row>
    <row r="272" customFormat="false" ht="15" hidden="false" customHeight="false" outlineLevel="0" collapsed="false">
      <c r="A272" s="22"/>
      <c r="B272" s="16"/>
      <c r="C272" s="16"/>
      <c r="D272" s="16"/>
      <c r="E272" s="16"/>
      <c r="F272" s="16"/>
      <c r="G272" s="16"/>
      <c r="H272" s="13"/>
      <c r="I272" s="19" t="str">
        <f aca="false">IF(G272="","",G272*H272)</f>
        <v/>
      </c>
      <c r="J272" s="22"/>
      <c r="K272" s="16"/>
      <c r="L272" s="16"/>
      <c r="M272" s="19" t="str">
        <f aca="false">IF(D272="","",IFERROR(INDEX(Calculadora!$H$11:$H$50,MATCH(D272,Calculadora!$A$11:$A$50,0)),""))</f>
        <v/>
      </c>
      <c r="N272" s="19" t="str">
        <f aca="false">IF(OR(I272="",M272=""),"",I272-G272*M272)</f>
        <v/>
      </c>
    </row>
    <row r="273" customFormat="false" ht="15" hidden="false" customHeight="false" outlineLevel="0" collapsed="false">
      <c r="A273" s="22"/>
      <c r="B273" s="16"/>
      <c r="C273" s="16"/>
      <c r="D273" s="16"/>
      <c r="E273" s="16"/>
      <c r="F273" s="16"/>
      <c r="G273" s="16"/>
      <c r="H273" s="13"/>
      <c r="I273" s="19" t="str">
        <f aca="false">IF(G273="","",G273*H273)</f>
        <v/>
      </c>
      <c r="J273" s="22"/>
      <c r="K273" s="16"/>
      <c r="L273" s="16"/>
      <c r="M273" s="19" t="str">
        <f aca="false">IF(D273="","",IFERROR(INDEX(Calculadora!$H$11:$H$50,MATCH(D273,Calculadora!$A$11:$A$50,0)),""))</f>
        <v/>
      </c>
      <c r="N273" s="19" t="str">
        <f aca="false">IF(OR(I273="",M273=""),"",I273-G273*M273)</f>
        <v/>
      </c>
    </row>
    <row r="274" customFormat="false" ht="15" hidden="false" customHeight="false" outlineLevel="0" collapsed="false">
      <c r="A274" s="22"/>
      <c r="B274" s="16"/>
      <c r="C274" s="16"/>
      <c r="D274" s="16"/>
      <c r="E274" s="16"/>
      <c r="F274" s="16"/>
      <c r="G274" s="16"/>
      <c r="H274" s="13"/>
      <c r="I274" s="19" t="str">
        <f aca="false">IF(G274="","",G274*H274)</f>
        <v/>
      </c>
      <c r="J274" s="22"/>
      <c r="K274" s="16"/>
      <c r="L274" s="16"/>
      <c r="M274" s="19" t="str">
        <f aca="false">IF(D274="","",IFERROR(INDEX(Calculadora!$H$11:$H$50,MATCH(D274,Calculadora!$A$11:$A$50,0)),""))</f>
        <v/>
      </c>
      <c r="N274" s="19" t="str">
        <f aca="false">IF(OR(I274="",M274=""),"",I274-G274*M274)</f>
        <v/>
      </c>
    </row>
    <row r="275" customFormat="false" ht="15" hidden="false" customHeight="false" outlineLevel="0" collapsed="false">
      <c r="A275" s="22"/>
      <c r="B275" s="16"/>
      <c r="C275" s="16"/>
      <c r="D275" s="16"/>
      <c r="E275" s="16"/>
      <c r="F275" s="16"/>
      <c r="G275" s="16"/>
      <c r="H275" s="13"/>
      <c r="I275" s="19" t="str">
        <f aca="false">IF(G275="","",G275*H275)</f>
        <v/>
      </c>
      <c r="J275" s="22"/>
      <c r="K275" s="16"/>
      <c r="L275" s="16"/>
      <c r="M275" s="19" t="str">
        <f aca="false">IF(D275="","",IFERROR(INDEX(Calculadora!$H$11:$H$50,MATCH(D275,Calculadora!$A$11:$A$50,0)),""))</f>
        <v/>
      </c>
      <c r="N275" s="19" t="str">
        <f aca="false">IF(OR(I275="",M275=""),"",I275-G275*M275)</f>
        <v/>
      </c>
    </row>
    <row r="276" customFormat="false" ht="15" hidden="false" customHeight="false" outlineLevel="0" collapsed="false">
      <c r="A276" s="22"/>
      <c r="B276" s="16"/>
      <c r="C276" s="16"/>
      <c r="D276" s="16"/>
      <c r="E276" s="16"/>
      <c r="F276" s="16"/>
      <c r="G276" s="16"/>
      <c r="H276" s="13"/>
      <c r="I276" s="19" t="str">
        <f aca="false">IF(G276="","",G276*H276)</f>
        <v/>
      </c>
      <c r="J276" s="22"/>
      <c r="K276" s="16"/>
      <c r="L276" s="16"/>
      <c r="M276" s="19" t="str">
        <f aca="false">IF(D276="","",IFERROR(INDEX(Calculadora!$H$11:$H$50,MATCH(D276,Calculadora!$A$11:$A$50,0)),""))</f>
        <v/>
      </c>
      <c r="N276" s="19" t="str">
        <f aca="false">IF(OR(I276="",M276=""),"",I276-G276*M276)</f>
        <v/>
      </c>
    </row>
    <row r="277" customFormat="false" ht="15" hidden="false" customHeight="false" outlineLevel="0" collapsed="false">
      <c r="A277" s="22"/>
      <c r="B277" s="16"/>
      <c r="C277" s="16"/>
      <c r="D277" s="16"/>
      <c r="E277" s="16"/>
      <c r="F277" s="16"/>
      <c r="G277" s="16"/>
      <c r="H277" s="13"/>
      <c r="I277" s="19" t="str">
        <f aca="false">IF(G277="","",G277*H277)</f>
        <v/>
      </c>
      <c r="J277" s="22"/>
      <c r="K277" s="16"/>
      <c r="L277" s="16"/>
      <c r="M277" s="19" t="str">
        <f aca="false">IF(D277="","",IFERROR(INDEX(Calculadora!$H$11:$H$50,MATCH(D277,Calculadora!$A$11:$A$50,0)),""))</f>
        <v/>
      </c>
      <c r="N277" s="19" t="str">
        <f aca="false">IF(OR(I277="",M277=""),"",I277-G277*M277)</f>
        <v/>
      </c>
    </row>
    <row r="278" customFormat="false" ht="15" hidden="false" customHeight="false" outlineLevel="0" collapsed="false">
      <c r="A278" s="22"/>
      <c r="B278" s="16"/>
      <c r="C278" s="16"/>
      <c r="D278" s="16"/>
      <c r="E278" s="16"/>
      <c r="F278" s="16"/>
      <c r="G278" s="16"/>
      <c r="H278" s="13"/>
      <c r="I278" s="19" t="str">
        <f aca="false">IF(G278="","",G278*H278)</f>
        <v/>
      </c>
      <c r="J278" s="22"/>
      <c r="K278" s="16"/>
      <c r="L278" s="16"/>
      <c r="M278" s="19" t="str">
        <f aca="false">IF(D278="","",IFERROR(INDEX(Calculadora!$H$11:$H$50,MATCH(D278,Calculadora!$A$11:$A$50,0)),""))</f>
        <v/>
      </c>
      <c r="N278" s="19" t="str">
        <f aca="false">IF(OR(I278="",M278=""),"",I278-G278*M278)</f>
        <v/>
      </c>
    </row>
    <row r="279" customFormat="false" ht="15" hidden="false" customHeight="false" outlineLevel="0" collapsed="false">
      <c r="A279" s="22"/>
      <c r="B279" s="16"/>
      <c r="C279" s="16"/>
      <c r="D279" s="16"/>
      <c r="E279" s="16"/>
      <c r="F279" s="16"/>
      <c r="G279" s="16"/>
      <c r="H279" s="13"/>
      <c r="I279" s="19" t="str">
        <f aca="false">IF(G279="","",G279*H279)</f>
        <v/>
      </c>
      <c r="J279" s="22"/>
      <c r="K279" s="16"/>
      <c r="L279" s="16"/>
      <c r="M279" s="19" t="str">
        <f aca="false">IF(D279="","",IFERROR(INDEX(Calculadora!$H$11:$H$50,MATCH(D279,Calculadora!$A$11:$A$50,0)),""))</f>
        <v/>
      </c>
      <c r="N279" s="19" t="str">
        <f aca="false">IF(OR(I279="",M279=""),"",I279-G279*M279)</f>
        <v/>
      </c>
    </row>
    <row r="280" customFormat="false" ht="15" hidden="false" customHeight="false" outlineLevel="0" collapsed="false">
      <c r="A280" s="22"/>
      <c r="B280" s="16"/>
      <c r="C280" s="16"/>
      <c r="D280" s="16"/>
      <c r="E280" s="16"/>
      <c r="F280" s="16"/>
      <c r="G280" s="16"/>
      <c r="H280" s="13"/>
      <c r="I280" s="19" t="str">
        <f aca="false">IF(G280="","",G280*H280)</f>
        <v/>
      </c>
      <c r="J280" s="22"/>
      <c r="K280" s="16"/>
      <c r="L280" s="16"/>
      <c r="M280" s="19" t="str">
        <f aca="false">IF(D280="","",IFERROR(INDEX(Calculadora!$H$11:$H$50,MATCH(D280,Calculadora!$A$11:$A$50,0)),""))</f>
        <v/>
      </c>
      <c r="N280" s="19" t="str">
        <f aca="false">IF(OR(I280="",M280=""),"",I280-G280*M280)</f>
        <v/>
      </c>
    </row>
    <row r="281" customFormat="false" ht="15" hidden="false" customHeight="false" outlineLevel="0" collapsed="false">
      <c r="A281" s="22"/>
      <c r="B281" s="16"/>
      <c r="C281" s="16"/>
      <c r="D281" s="16"/>
      <c r="E281" s="16"/>
      <c r="F281" s="16"/>
      <c r="G281" s="16"/>
      <c r="H281" s="13"/>
      <c r="I281" s="19" t="str">
        <f aca="false">IF(G281="","",G281*H281)</f>
        <v/>
      </c>
      <c r="J281" s="22"/>
      <c r="K281" s="16"/>
      <c r="L281" s="16"/>
      <c r="M281" s="19" t="str">
        <f aca="false">IF(D281="","",IFERROR(INDEX(Calculadora!$H$11:$H$50,MATCH(D281,Calculadora!$A$11:$A$50,0)),""))</f>
        <v/>
      </c>
      <c r="N281" s="19" t="str">
        <f aca="false">IF(OR(I281="",M281=""),"",I281-G281*M281)</f>
        <v/>
      </c>
    </row>
    <row r="282" customFormat="false" ht="15" hidden="false" customHeight="false" outlineLevel="0" collapsed="false">
      <c r="A282" s="22"/>
      <c r="B282" s="16"/>
      <c r="C282" s="16"/>
      <c r="D282" s="16"/>
      <c r="E282" s="16"/>
      <c r="F282" s="16"/>
      <c r="G282" s="16"/>
      <c r="H282" s="13"/>
      <c r="I282" s="19" t="str">
        <f aca="false">IF(G282="","",G282*H282)</f>
        <v/>
      </c>
      <c r="J282" s="22"/>
      <c r="K282" s="16"/>
      <c r="L282" s="16"/>
      <c r="M282" s="19" t="str">
        <f aca="false">IF(D282="","",IFERROR(INDEX(Calculadora!$H$11:$H$50,MATCH(D282,Calculadora!$A$11:$A$50,0)),""))</f>
        <v/>
      </c>
      <c r="N282" s="19" t="str">
        <f aca="false">IF(OR(I282="",M282=""),"",I282-G282*M282)</f>
        <v/>
      </c>
    </row>
    <row r="283" customFormat="false" ht="15" hidden="false" customHeight="false" outlineLevel="0" collapsed="false">
      <c r="A283" s="22"/>
      <c r="B283" s="16"/>
      <c r="C283" s="16"/>
      <c r="D283" s="16"/>
      <c r="E283" s="16"/>
      <c r="F283" s="16"/>
      <c r="G283" s="16"/>
      <c r="H283" s="13"/>
      <c r="I283" s="19" t="str">
        <f aca="false">IF(G283="","",G283*H283)</f>
        <v/>
      </c>
      <c r="J283" s="22"/>
      <c r="K283" s="16"/>
      <c r="L283" s="16"/>
      <c r="M283" s="19" t="str">
        <f aca="false">IF(D283="","",IFERROR(INDEX(Calculadora!$H$11:$H$50,MATCH(D283,Calculadora!$A$11:$A$50,0)),""))</f>
        <v/>
      </c>
      <c r="N283" s="19" t="str">
        <f aca="false">IF(OR(I283="",M283=""),"",I283-G283*M283)</f>
        <v/>
      </c>
    </row>
    <row r="284" customFormat="false" ht="15" hidden="false" customHeight="false" outlineLevel="0" collapsed="false">
      <c r="A284" s="22"/>
      <c r="B284" s="16"/>
      <c r="C284" s="16"/>
      <c r="D284" s="16"/>
      <c r="E284" s="16"/>
      <c r="F284" s="16"/>
      <c r="G284" s="16"/>
      <c r="H284" s="13"/>
      <c r="I284" s="19" t="str">
        <f aca="false">IF(G284="","",G284*H284)</f>
        <v/>
      </c>
      <c r="J284" s="22"/>
      <c r="K284" s="16"/>
      <c r="L284" s="16"/>
      <c r="M284" s="19" t="str">
        <f aca="false">IF(D284="","",IFERROR(INDEX(Calculadora!$H$11:$H$50,MATCH(D284,Calculadora!$A$11:$A$50,0)),""))</f>
        <v/>
      </c>
      <c r="N284" s="19" t="str">
        <f aca="false">IF(OR(I284="",M284=""),"",I284-G284*M284)</f>
        <v/>
      </c>
    </row>
    <row r="285" customFormat="false" ht="15" hidden="false" customHeight="false" outlineLevel="0" collapsed="false">
      <c r="A285" s="22"/>
      <c r="B285" s="16"/>
      <c r="C285" s="16"/>
      <c r="D285" s="16"/>
      <c r="E285" s="16"/>
      <c r="F285" s="16"/>
      <c r="G285" s="16"/>
      <c r="H285" s="13"/>
      <c r="I285" s="19" t="str">
        <f aca="false">IF(G285="","",G285*H285)</f>
        <v/>
      </c>
      <c r="J285" s="22"/>
      <c r="K285" s="16"/>
      <c r="L285" s="16"/>
      <c r="M285" s="19" t="str">
        <f aca="false">IF(D285="","",IFERROR(INDEX(Calculadora!$H$11:$H$50,MATCH(D285,Calculadora!$A$11:$A$50,0)),""))</f>
        <v/>
      </c>
      <c r="N285" s="19" t="str">
        <f aca="false">IF(OR(I285="",M285=""),"",I285-G285*M285)</f>
        <v/>
      </c>
    </row>
    <row r="286" customFormat="false" ht="15" hidden="false" customHeight="false" outlineLevel="0" collapsed="false">
      <c r="A286" s="22"/>
      <c r="B286" s="16"/>
      <c r="C286" s="16"/>
      <c r="D286" s="16"/>
      <c r="E286" s="16"/>
      <c r="F286" s="16"/>
      <c r="G286" s="16"/>
      <c r="H286" s="13"/>
      <c r="I286" s="19" t="str">
        <f aca="false">IF(G286="","",G286*H286)</f>
        <v/>
      </c>
      <c r="J286" s="22"/>
      <c r="K286" s="16"/>
      <c r="L286" s="16"/>
      <c r="M286" s="19" t="str">
        <f aca="false">IF(D286="","",IFERROR(INDEX(Calculadora!$H$11:$H$50,MATCH(D286,Calculadora!$A$11:$A$50,0)),""))</f>
        <v/>
      </c>
      <c r="N286" s="19" t="str">
        <f aca="false">IF(OR(I286="",M286=""),"",I286-G286*M286)</f>
        <v/>
      </c>
    </row>
    <row r="287" customFormat="false" ht="15" hidden="false" customHeight="false" outlineLevel="0" collapsed="false">
      <c r="A287" s="22"/>
      <c r="B287" s="16"/>
      <c r="C287" s="16"/>
      <c r="D287" s="16"/>
      <c r="E287" s="16"/>
      <c r="F287" s="16"/>
      <c r="G287" s="16"/>
      <c r="H287" s="13"/>
      <c r="I287" s="19" t="str">
        <f aca="false">IF(G287="","",G287*H287)</f>
        <v/>
      </c>
      <c r="J287" s="22"/>
      <c r="K287" s="16"/>
      <c r="L287" s="16"/>
      <c r="M287" s="19" t="str">
        <f aca="false">IF(D287="","",IFERROR(INDEX(Calculadora!$H$11:$H$50,MATCH(D287,Calculadora!$A$11:$A$50,0)),""))</f>
        <v/>
      </c>
      <c r="N287" s="19" t="str">
        <f aca="false">IF(OR(I287="",M287=""),"",I287-G287*M287)</f>
        <v/>
      </c>
    </row>
    <row r="288" customFormat="false" ht="15" hidden="false" customHeight="false" outlineLevel="0" collapsed="false">
      <c r="A288" s="22"/>
      <c r="B288" s="16"/>
      <c r="C288" s="16"/>
      <c r="D288" s="16"/>
      <c r="E288" s="16"/>
      <c r="F288" s="16"/>
      <c r="G288" s="16"/>
      <c r="H288" s="13"/>
      <c r="I288" s="19" t="str">
        <f aca="false">IF(G288="","",G288*H288)</f>
        <v/>
      </c>
      <c r="J288" s="22"/>
      <c r="K288" s="16"/>
      <c r="L288" s="16"/>
      <c r="M288" s="19" t="str">
        <f aca="false">IF(D288="","",IFERROR(INDEX(Calculadora!$H$11:$H$50,MATCH(D288,Calculadora!$A$11:$A$50,0)),""))</f>
        <v/>
      </c>
      <c r="N288" s="19" t="str">
        <f aca="false">IF(OR(I288="",M288=""),"",I288-G288*M288)</f>
        <v/>
      </c>
    </row>
    <row r="289" customFormat="false" ht="15" hidden="false" customHeight="false" outlineLevel="0" collapsed="false">
      <c r="A289" s="22"/>
      <c r="B289" s="16"/>
      <c r="C289" s="16"/>
      <c r="D289" s="16"/>
      <c r="E289" s="16"/>
      <c r="F289" s="16"/>
      <c r="G289" s="16"/>
      <c r="H289" s="13"/>
      <c r="I289" s="19" t="str">
        <f aca="false">IF(G289="","",G289*H289)</f>
        <v/>
      </c>
      <c r="J289" s="22"/>
      <c r="K289" s="16"/>
      <c r="L289" s="16"/>
      <c r="M289" s="19" t="str">
        <f aca="false">IF(D289="","",IFERROR(INDEX(Calculadora!$H$11:$H$50,MATCH(D289,Calculadora!$A$11:$A$50,0)),""))</f>
        <v/>
      </c>
      <c r="N289" s="19" t="str">
        <f aca="false">IF(OR(I289="",M289=""),"",I289-G289*M289)</f>
        <v/>
      </c>
    </row>
    <row r="290" customFormat="false" ht="15" hidden="false" customHeight="false" outlineLevel="0" collapsed="false">
      <c r="A290" s="22"/>
      <c r="B290" s="16"/>
      <c r="C290" s="16"/>
      <c r="D290" s="16"/>
      <c r="E290" s="16"/>
      <c r="F290" s="16"/>
      <c r="G290" s="16"/>
      <c r="H290" s="13"/>
      <c r="I290" s="19" t="str">
        <f aca="false">IF(G290="","",G290*H290)</f>
        <v/>
      </c>
      <c r="J290" s="22"/>
      <c r="K290" s="16"/>
      <c r="L290" s="16"/>
      <c r="M290" s="19" t="str">
        <f aca="false">IF(D290="","",IFERROR(INDEX(Calculadora!$H$11:$H$50,MATCH(D290,Calculadora!$A$11:$A$50,0)),""))</f>
        <v/>
      </c>
      <c r="N290" s="19" t="str">
        <f aca="false">IF(OR(I290="",M290=""),"",I290-G290*M290)</f>
        <v/>
      </c>
    </row>
    <row r="291" customFormat="false" ht="15" hidden="false" customHeight="false" outlineLevel="0" collapsed="false">
      <c r="A291" s="22"/>
      <c r="B291" s="16"/>
      <c r="C291" s="16"/>
      <c r="D291" s="16"/>
      <c r="E291" s="16"/>
      <c r="F291" s="16"/>
      <c r="G291" s="16"/>
      <c r="H291" s="13"/>
      <c r="I291" s="19" t="str">
        <f aca="false">IF(G291="","",G291*H291)</f>
        <v/>
      </c>
      <c r="J291" s="22"/>
      <c r="K291" s="16"/>
      <c r="L291" s="16"/>
      <c r="M291" s="19" t="str">
        <f aca="false">IF(D291="","",IFERROR(INDEX(Calculadora!$H$11:$H$50,MATCH(D291,Calculadora!$A$11:$A$50,0)),""))</f>
        <v/>
      </c>
      <c r="N291" s="19" t="str">
        <f aca="false">IF(OR(I291="",M291=""),"",I291-G291*M291)</f>
        <v/>
      </c>
    </row>
    <row r="292" customFormat="false" ht="15" hidden="false" customHeight="false" outlineLevel="0" collapsed="false">
      <c r="A292" s="22"/>
      <c r="B292" s="16"/>
      <c r="C292" s="16"/>
      <c r="D292" s="16"/>
      <c r="E292" s="16"/>
      <c r="F292" s="16"/>
      <c r="G292" s="16"/>
      <c r="H292" s="13"/>
      <c r="I292" s="19" t="str">
        <f aca="false">IF(G292="","",G292*H292)</f>
        <v/>
      </c>
      <c r="J292" s="22"/>
      <c r="K292" s="16"/>
      <c r="L292" s="16"/>
      <c r="M292" s="19" t="str">
        <f aca="false">IF(D292="","",IFERROR(INDEX(Calculadora!$H$11:$H$50,MATCH(D292,Calculadora!$A$11:$A$50,0)),""))</f>
        <v/>
      </c>
      <c r="N292" s="19" t="str">
        <f aca="false">IF(OR(I292="",M292=""),"",I292-G292*M292)</f>
        <v/>
      </c>
    </row>
    <row r="293" customFormat="false" ht="15" hidden="false" customHeight="false" outlineLevel="0" collapsed="false">
      <c r="A293" s="22"/>
      <c r="B293" s="16"/>
      <c r="C293" s="16"/>
      <c r="D293" s="16"/>
      <c r="E293" s="16"/>
      <c r="F293" s="16"/>
      <c r="G293" s="16"/>
      <c r="H293" s="13"/>
      <c r="I293" s="19" t="str">
        <f aca="false">IF(G293="","",G293*H293)</f>
        <v/>
      </c>
      <c r="J293" s="22"/>
      <c r="K293" s="16"/>
      <c r="L293" s="16"/>
      <c r="M293" s="19" t="str">
        <f aca="false">IF(D293="","",IFERROR(INDEX(Calculadora!$H$11:$H$50,MATCH(D293,Calculadora!$A$11:$A$50,0)),""))</f>
        <v/>
      </c>
      <c r="N293" s="19" t="str">
        <f aca="false">IF(OR(I293="",M293=""),"",I293-G293*M293)</f>
        <v/>
      </c>
    </row>
    <row r="294" customFormat="false" ht="15" hidden="false" customHeight="false" outlineLevel="0" collapsed="false">
      <c r="A294" s="22"/>
      <c r="B294" s="16"/>
      <c r="C294" s="16"/>
      <c r="D294" s="16"/>
      <c r="E294" s="16"/>
      <c r="F294" s="16"/>
      <c r="G294" s="16"/>
      <c r="H294" s="13"/>
      <c r="I294" s="19" t="str">
        <f aca="false">IF(G294="","",G294*H294)</f>
        <v/>
      </c>
      <c r="J294" s="22"/>
      <c r="K294" s="16"/>
      <c r="L294" s="16"/>
      <c r="M294" s="19" t="str">
        <f aca="false">IF(D294="","",IFERROR(INDEX(Calculadora!$H$11:$H$50,MATCH(D294,Calculadora!$A$11:$A$50,0)),""))</f>
        <v/>
      </c>
      <c r="N294" s="19" t="str">
        <f aca="false">IF(OR(I294="",M294=""),"",I294-G294*M294)</f>
        <v/>
      </c>
    </row>
    <row r="295" customFormat="false" ht="15" hidden="false" customHeight="false" outlineLevel="0" collapsed="false">
      <c r="A295" s="22"/>
      <c r="B295" s="16"/>
      <c r="C295" s="16"/>
      <c r="D295" s="16"/>
      <c r="E295" s="16"/>
      <c r="F295" s="16"/>
      <c r="G295" s="16"/>
      <c r="H295" s="13"/>
      <c r="I295" s="19" t="str">
        <f aca="false">IF(G295="","",G295*H295)</f>
        <v/>
      </c>
      <c r="J295" s="22"/>
      <c r="K295" s="16"/>
      <c r="L295" s="16"/>
      <c r="M295" s="19" t="str">
        <f aca="false">IF(D295="","",IFERROR(INDEX(Calculadora!$H$11:$H$50,MATCH(D295,Calculadora!$A$11:$A$50,0)),""))</f>
        <v/>
      </c>
      <c r="N295" s="19" t="str">
        <f aca="false">IF(OR(I295="",M295=""),"",I295-G295*M295)</f>
        <v/>
      </c>
    </row>
    <row r="296" customFormat="false" ht="15" hidden="false" customHeight="false" outlineLevel="0" collapsed="false">
      <c r="A296" s="22"/>
      <c r="B296" s="16"/>
      <c r="C296" s="16"/>
      <c r="D296" s="16"/>
      <c r="E296" s="16"/>
      <c r="F296" s="16"/>
      <c r="G296" s="16"/>
      <c r="H296" s="13"/>
      <c r="I296" s="19" t="str">
        <f aca="false">IF(G296="","",G296*H296)</f>
        <v/>
      </c>
      <c r="J296" s="22"/>
      <c r="K296" s="16"/>
      <c r="L296" s="16"/>
      <c r="M296" s="19" t="str">
        <f aca="false">IF(D296="","",IFERROR(INDEX(Calculadora!$H$11:$H$50,MATCH(D296,Calculadora!$A$11:$A$50,0)),""))</f>
        <v/>
      </c>
      <c r="N296" s="19" t="str">
        <f aca="false">IF(OR(I296="",M296=""),"",I296-G296*M296)</f>
        <v/>
      </c>
    </row>
    <row r="297" customFormat="false" ht="15" hidden="false" customHeight="false" outlineLevel="0" collapsed="false">
      <c r="A297" s="22"/>
      <c r="B297" s="16"/>
      <c r="C297" s="16"/>
      <c r="D297" s="16"/>
      <c r="E297" s="16"/>
      <c r="F297" s="16"/>
      <c r="G297" s="16"/>
      <c r="H297" s="13"/>
      <c r="I297" s="19" t="str">
        <f aca="false">IF(G297="","",G297*H297)</f>
        <v/>
      </c>
      <c r="J297" s="22"/>
      <c r="K297" s="16"/>
      <c r="L297" s="16"/>
      <c r="M297" s="19" t="str">
        <f aca="false">IF(D297="","",IFERROR(INDEX(Calculadora!$H$11:$H$50,MATCH(D297,Calculadora!$A$11:$A$50,0)),""))</f>
        <v/>
      </c>
      <c r="N297" s="19" t="str">
        <f aca="false">IF(OR(I297="",M297=""),"",I297-G297*M297)</f>
        <v/>
      </c>
    </row>
    <row r="298" customFormat="false" ht="15" hidden="false" customHeight="false" outlineLevel="0" collapsed="false">
      <c r="A298" s="22"/>
      <c r="B298" s="16"/>
      <c r="C298" s="16"/>
      <c r="D298" s="16"/>
      <c r="E298" s="16"/>
      <c r="F298" s="16"/>
      <c r="G298" s="16"/>
      <c r="H298" s="13"/>
      <c r="I298" s="19" t="str">
        <f aca="false">IF(G298="","",G298*H298)</f>
        <v/>
      </c>
      <c r="J298" s="22"/>
      <c r="K298" s="16"/>
      <c r="L298" s="16"/>
      <c r="M298" s="19" t="str">
        <f aca="false">IF(D298="","",IFERROR(INDEX(Calculadora!$H$11:$H$50,MATCH(D298,Calculadora!$A$11:$A$50,0)),""))</f>
        <v/>
      </c>
      <c r="N298" s="19" t="str">
        <f aca="false">IF(OR(I298="",M298=""),"",I298-G298*M298)</f>
        <v/>
      </c>
    </row>
    <row r="299" customFormat="false" ht="15" hidden="false" customHeight="false" outlineLevel="0" collapsed="false">
      <c r="A299" s="22"/>
      <c r="B299" s="16"/>
      <c r="C299" s="16"/>
      <c r="D299" s="16"/>
      <c r="E299" s="16"/>
      <c r="F299" s="16"/>
      <c r="G299" s="16"/>
      <c r="H299" s="13"/>
      <c r="I299" s="19" t="str">
        <f aca="false">IF(G299="","",G299*H299)</f>
        <v/>
      </c>
      <c r="J299" s="22"/>
      <c r="K299" s="16"/>
      <c r="L299" s="16"/>
      <c r="M299" s="19" t="str">
        <f aca="false">IF(D299="","",IFERROR(INDEX(Calculadora!$H$11:$H$50,MATCH(D299,Calculadora!$A$11:$A$50,0)),""))</f>
        <v/>
      </c>
      <c r="N299" s="19" t="str">
        <f aca="false">IF(OR(I299="",M299=""),"",I299-G299*M299)</f>
        <v/>
      </c>
    </row>
    <row r="300" customFormat="false" ht="15" hidden="false" customHeight="false" outlineLevel="0" collapsed="false">
      <c r="A300" s="22"/>
      <c r="B300" s="16"/>
      <c r="C300" s="16"/>
      <c r="D300" s="16"/>
      <c r="E300" s="16"/>
      <c r="F300" s="16"/>
      <c r="G300" s="16"/>
      <c r="H300" s="13"/>
      <c r="I300" s="19" t="str">
        <f aca="false">IF(G300="","",G300*H300)</f>
        <v/>
      </c>
      <c r="J300" s="22"/>
      <c r="K300" s="16"/>
      <c r="L300" s="16"/>
      <c r="M300" s="19" t="str">
        <f aca="false">IF(D300="","",IFERROR(INDEX(Calculadora!$H$11:$H$50,MATCH(D300,Calculadora!$A$11:$A$50,0)),""))</f>
        <v/>
      </c>
      <c r="N300" s="19" t="str">
        <f aca="false">IF(OR(I300="",M300=""),"",I300-G300*M300)</f>
        <v/>
      </c>
    </row>
    <row r="301" customFormat="false" ht="15" hidden="false" customHeight="false" outlineLevel="0" collapsed="false">
      <c r="A301" s="22"/>
      <c r="B301" s="16"/>
      <c r="C301" s="16"/>
      <c r="D301" s="16"/>
      <c r="E301" s="16"/>
      <c r="F301" s="16"/>
      <c r="G301" s="16"/>
      <c r="H301" s="13"/>
      <c r="I301" s="19" t="str">
        <f aca="false">IF(G301="","",G301*H301)</f>
        <v/>
      </c>
      <c r="J301" s="22"/>
      <c r="K301" s="16"/>
      <c r="L301" s="16"/>
      <c r="M301" s="19" t="str">
        <f aca="false">IF(D301="","",IFERROR(INDEX(Calculadora!$H$11:$H$50,MATCH(D301,Calculadora!$A$11:$A$50,0)),""))</f>
        <v/>
      </c>
      <c r="N301" s="19" t="str">
        <f aca="false">IF(OR(I301="",M301=""),"",I301-G301*M301)</f>
        <v/>
      </c>
    </row>
    <row r="302" customFormat="false" ht="15" hidden="false" customHeight="false" outlineLevel="0" collapsed="false">
      <c r="A302" s="22"/>
      <c r="B302" s="16"/>
      <c r="C302" s="16"/>
      <c r="D302" s="16"/>
      <c r="E302" s="16"/>
      <c r="F302" s="16"/>
      <c r="G302" s="16"/>
      <c r="H302" s="13"/>
      <c r="I302" s="19" t="str">
        <f aca="false">IF(G302="","",G302*H302)</f>
        <v/>
      </c>
      <c r="J302" s="22"/>
      <c r="K302" s="16"/>
      <c r="L302" s="16"/>
      <c r="M302" s="19" t="str">
        <f aca="false">IF(D302="","",IFERROR(INDEX(Calculadora!$H$11:$H$50,MATCH(D302,Calculadora!$A$11:$A$50,0)),""))</f>
        <v/>
      </c>
      <c r="N302" s="19" t="str">
        <f aca="false">IF(OR(I302="",M302=""),"",I302-G302*M302)</f>
        <v/>
      </c>
    </row>
    <row r="303" customFormat="false" ht="15" hidden="false" customHeight="false" outlineLevel="0" collapsed="false">
      <c r="A303" s="22"/>
      <c r="B303" s="16"/>
      <c r="C303" s="16"/>
      <c r="D303" s="16"/>
      <c r="E303" s="16"/>
      <c r="F303" s="16"/>
      <c r="G303" s="16"/>
      <c r="H303" s="13"/>
      <c r="I303" s="19" t="str">
        <f aca="false">IF(G303="","",G303*H303)</f>
        <v/>
      </c>
      <c r="J303" s="22"/>
      <c r="K303" s="16"/>
      <c r="L303" s="16"/>
      <c r="M303" s="19" t="str">
        <f aca="false">IF(D303="","",IFERROR(INDEX(Calculadora!$H$11:$H$50,MATCH(D303,Calculadora!$A$11:$A$50,0)),""))</f>
        <v/>
      </c>
      <c r="N303" s="19" t="str">
        <f aca="false">IF(OR(I303="",M303=""),"",I303-G303*M303)</f>
        <v/>
      </c>
    </row>
    <row r="304" customFormat="false" ht="15" hidden="false" customHeight="false" outlineLevel="0" collapsed="false">
      <c r="A304" s="22"/>
      <c r="B304" s="16"/>
      <c r="C304" s="16"/>
      <c r="D304" s="16"/>
      <c r="E304" s="16"/>
      <c r="F304" s="16"/>
      <c r="G304" s="16"/>
      <c r="H304" s="13"/>
      <c r="I304" s="19" t="str">
        <f aca="false">IF(G304="","",G304*H304)</f>
        <v/>
      </c>
      <c r="J304" s="22"/>
      <c r="K304" s="16"/>
      <c r="L304" s="16"/>
      <c r="M304" s="19" t="str">
        <f aca="false">IF(D304="","",IFERROR(INDEX(Calculadora!$H$11:$H$50,MATCH(D304,Calculadora!$A$11:$A$50,0)),""))</f>
        <v/>
      </c>
      <c r="N304" s="19" t="str">
        <f aca="false">IF(OR(I304="",M304=""),"",I304-G304*M304)</f>
        <v/>
      </c>
    </row>
  </sheetData>
  <conditionalFormatting sqref="A5:N304">
    <cfRule type="expression" priority="2" aboveAverage="0" equalAverage="0" bottom="0" percent="0" rank="0" text="" dxfId="0">
      <formula>AND($B5&lt;&gt;"",$K5&lt;&gt;"Sim")</formula>
    </cfRule>
    <cfRule type="expression" priority="3" aboveAverage="0" equalAverage="0" bottom="0" percent="0" rank="0" text="" dxfId="1">
      <formula>AND($K5="Sim",$L5="Sim")</formula>
    </cfRule>
  </conditionalFormatting>
  <dataValidations count="1">
    <dataValidation allowBlank="true" errorStyle="stop" operator="between" showDropDown="false" showErrorMessage="false" showInputMessage="false" sqref="K5:L304" type="list">
      <formula1>"Sim,Não"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4"/>
    <col collapsed="false" customWidth="true" hidden="false" outlineLevel="0" max="4" min="3" style="0" width="9"/>
    <col collapsed="false" customWidth="true" hidden="false" outlineLevel="0" max="5" min="5" style="0" width="10"/>
    <col collapsed="false" customWidth="true" hidden="false" outlineLevel="0" max="6" min="6" style="0" width="12"/>
    <col collapsed="false" customWidth="true" hidden="false" outlineLevel="0" max="7" min="7" style="0" width="14"/>
  </cols>
  <sheetData>
    <row r="1" customFormat="false" ht="19.7" hidden="false" customHeight="false" outlineLevel="0" collapsed="false">
      <c r="A1" s="1" t="s">
        <v>67</v>
      </c>
    </row>
    <row r="2" customFormat="false" ht="15" hidden="false" customHeight="false" outlineLevel="0" collapsed="false">
      <c r="A2" s="2" t="s">
        <v>68</v>
      </c>
    </row>
    <row r="4" customFormat="false" ht="31.5" hidden="false" customHeight="true" outlineLevel="0" collapsed="false">
      <c r="A4" s="15" t="s">
        <v>31</v>
      </c>
      <c r="B4" s="15" t="s">
        <v>52</v>
      </c>
      <c r="C4" s="15" t="s">
        <v>69</v>
      </c>
      <c r="D4" s="15" t="s">
        <v>70</v>
      </c>
      <c r="E4" s="15" t="s">
        <v>71</v>
      </c>
      <c r="F4" s="15" t="s">
        <v>72</v>
      </c>
      <c r="G4" s="15" t="s">
        <v>73</v>
      </c>
    </row>
    <row r="5" customFormat="false" ht="15" hidden="false" customHeight="false" outlineLevel="0" collapsed="false">
      <c r="A5" s="16" t="s">
        <v>42</v>
      </c>
      <c r="B5" s="16" t="s">
        <v>74</v>
      </c>
      <c r="C5" s="16" t="n">
        <v>20</v>
      </c>
      <c r="D5" s="16" t="n">
        <v>8</v>
      </c>
      <c r="E5" s="16" t="n">
        <v>3</v>
      </c>
      <c r="F5" s="23" t="n">
        <f aca="false">IF(A5="","",D5-E5)</f>
        <v>5</v>
      </c>
      <c r="G5" s="23" t="n">
        <f aca="false">IF(A5="","",MAX(0,C5-D5))</f>
        <v>12</v>
      </c>
    </row>
    <row r="6" customFormat="false" ht="15" hidden="false" customHeight="false" outlineLevel="0" collapsed="false">
      <c r="A6" s="16"/>
      <c r="B6" s="16"/>
      <c r="C6" s="16"/>
      <c r="D6" s="16"/>
      <c r="E6" s="16"/>
      <c r="F6" s="23" t="str">
        <f aca="false">IF(A6="","",D6-E6)</f>
        <v/>
      </c>
      <c r="G6" s="23" t="str">
        <f aca="false">IF(A6="","",MAX(0,C6-D6))</f>
        <v/>
      </c>
    </row>
    <row r="7" customFormat="false" ht="15" hidden="false" customHeight="false" outlineLevel="0" collapsed="false">
      <c r="A7" s="16"/>
      <c r="B7" s="16"/>
      <c r="C7" s="16"/>
      <c r="D7" s="16"/>
      <c r="E7" s="16"/>
      <c r="F7" s="23" t="str">
        <f aca="false">IF(A7="","",D7-E7)</f>
        <v/>
      </c>
      <c r="G7" s="23" t="str">
        <f aca="false">IF(A7="","",MAX(0,C7-D7))</f>
        <v/>
      </c>
    </row>
    <row r="8" customFormat="false" ht="15" hidden="false" customHeight="false" outlineLevel="0" collapsed="false">
      <c r="A8" s="16"/>
      <c r="B8" s="16"/>
      <c r="C8" s="16"/>
      <c r="D8" s="16"/>
      <c r="E8" s="16"/>
      <c r="F8" s="23" t="str">
        <f aca="false">IF(A8="","",D8-E8)</f>
        <v/>
      </c>
      <c r="G8" s="23" t="str">
        <f aca="false">IF(A8="","",MAX(0,C8-D8))</f>
        <v/>
      </c>
    </row>
    <row r="9" customFormat="false" ht="15" hidden="false" customHeight="false" outlineLevel="0" collapsed="false">
      <c r="A9" s="16"/>
      <c r="B9" s="16"/>
      <c r="C9" s="16"/>
      <c r="D9" s="16"/>
      <c r="E9" s="16"/>
      <c r="F9" s="23" t="str">
        <f aca="false">IF(A9="","",D9-E9)</f>
        <v/>
      </c>
      <c r="G9" s="23" t="str">
        <f aca="false">IF(A9="","",MAX(0,C9-D9))</f>
        <v/>
      </c>
    </row>
    <row r="10" customFormat="false" ht="15" hidden="false" customHeight="false" outlineLevel="0" collapsed="false">
      <c r="A10" s="16"/>
      <c r="B10" s="16"/>
      <c r="C10" s="16"/>
      <c r="D10" s="16"/>
      <c r="E10" s="16"/>
      <c r="F10" s="23" t="str">
        <f aca="false">IF(A10="","",D10-E10)</f>
        <v/>
      </c>
      <c r="G10" s="23" t="str">
        <f aca="false">IF(A10="","",MAX(0,C10-D10))</f>
        <v/>
      </c>
    </row>
    <row r="11" customFormat="false" ht="15" hidden="false" customHeight="false" outlineLevel="0" collapsed="false">
      <c r="A11" s="16"/>
      <c r="B11" s="16"/>
      <c r="C11" s="16"/>
      <c r="D11" s="16"/>
      <c r="E11" s="16"/>
      <c r="F11" s="23" t="str">
        <f aca="false">IF(A11="","",D11-E11)</f>
        <v/>
      </c>
      <c r="G11" s="23" t="str">
        <f aca="false">IF(A11="","",MAX(0,C11-D11))</f>
        <v/>
      </c>
    </row>
    <row r="12" customFormat="false" ht="15" hidden="false" customHeight="false" outlineLevel="0" collapsed="false">
      <c r="A12" s="16"/>
      <c r="B12" s="16"/>
      <c r="C12" s="16"/>
      <c r="D12" s="16"/>
      <c r="E12" s="16"/>
      <c r="F12" s="23" t="str">
        <f aca="false">IF(A12="","",D12-E12)</f>
        <v/>
      </c>
      <c r="G12" s="23" t="str">
        <f aca="false">IF(A12="","",MAX(0,C12-D12))</f>
        <v/>
      </c>
    </row>
    <row r="13" customFormat="false" ht="15" hidden="false" customHeight="false" outlineLevel="0" collapsed="false">
      <c r="A13" s="16"/>
      <c r="B13" s="16"/>
      <c r="C13" s="16"/>
      <c r="D13" s="16"/>
      <c r="E13" s="16"/>
      <c r="F13" s="23" t="str">
        <f aca="false">IF(A13="","",D13-E13)</f>
        <v/>
      </c>
      <c r="G13" s="23" t="str">
        <f aca="false">IF(A13="","",MAX(0,C13-D13))</f>
        <v/>
      </c>
    </row>
    <row r="14" customFormat="false" ht="15" hidden="false" customHeight="false" outlineLevel="0" collapsed="false">
      <c r="A14" s="16"/>
      <c r="B14" s="16"/>
      <c r="C14" s="16"/>
      <c r="D14" s="16"/>
      <c r="E14" s="16"/>
      <c r="F14" s="23" t="str">
        <f aca="false">IF(A14="","",D14-E14)</f>
        <v/>
      </c>
      <c r="G14" s="23" t="str">
        <f aca="false">IF(A14="","",MAX(0,C14-D14))</f>
        <v/>
      </c>
    </row>
    <row r="15" customFormat="false" ht="15" hidden="false" customHeight="false" outlineLevel="0" collapsed="false">
      <c r="A15" s="16"/>
      <c r="B15" s="16"/>
      <c r="C15" s="16"/>
      <c r="D15" s="16"/>
      <c r="E15" s="16"/>
      <c r="F15" s="23" t="str">
        <f aca="false">IF(A15="","",D15-E15)</f>
        <v/>
      </c>
      <c r="G15" s="23" t="str">
        <f aca="false">IF(A15="","",MAX(0,C15-D15))</f>
        <v/>
      </c>
    </row>
    <row r="16" customFormat="false" ht="15" hidden="false" customHeight="false" outlineLevel="0" collapsed="false">
      <c r="A16" s="16"/>
      <c r="B16" s="16"/>
      <c r="C16" s="16"/>
      <c r="D16" s="16"/>
      <c r="E16" s="16"/>
      <c r="F16" s="23" t="str">
        <f aca="false">IF(A16="","",D16-E16)</f>
        <v/>
      </c>
      <c r="G16" s="23" t="str">
        <f aca="false">IF(A16="","",MAX(0,C16-D16))</f>
        <v/>
      </c>
    </row>
    <row r="17" customFormat="false" ht="15" hidden="false" customHeight="false" outlineLevel="0" collapsed="false">
      <c r="A17" s="16"/>
      <c r="B17" s="16"/>
      <c r="C17" s="16"/>
      <c r="D17" s="16"/>
      <c r="E17" s="16"/>
      <c r="F17" s="23" t="str">
        <f aca="false">IF(A17="","",D17-E17)</f>
        <v/>
      </c>
      <c r="G17" s="23" t="str">
        <f aca="false">IF(A17="","",MAX(0,C17-D17))</f>
        <v/>
      </c>
    </row>
    <row r="18" customFormat="false" ht="15" hidden="false" customHeight="false" outlineLevel="0" collapsed="false">
      <c r="A18" s="16"/>
      <c r="B18" s="16"/>
      <c r="C18" s="16"/>
      <c r="D18" s="16"/>
      <c r="E18" s="16"/>
      <c r="F18" s="23" t="str">
        <f aca="false">IF(A18="","",D18-E18)</f>
        <v/>
      </c>
      <c r="G18" s="23" t="str">
        <f aca="false">IF(A18="","",MAX(0,C18-D18))</f>
        <v/>
      </c>
    </row>
    <row r="19" customFormat="false" ht="15" hidden="false" customHeight="false" outlineLevel="0" collapsed="false">
      <c r="A19" s="16"/>
      <c r="B19" s="16"/>
      <c r="C19" s="16"/>
      <c r="D19" s="16"/>
      <c r="E19" s="16"/>
      <c r="F19" s="23" t="str">
        <f aca="false">IF(A19="","",D19-E19)</f>
        <v/>
      </c>
      <c r="G19" s="23" t="str">
        <f aca="false">IF(A19="","",MAX(0,C19-D19))</f>
        <v/>
      </c>
    </row>
    <row r="20" customFormat="false" ht="15" hidden="false" customHeight="false" outlineLevel="0" collapsed="false">
      <c r="A20" s="16"/>
      <c r="B20" s="16"/>
      <c r="C20" s="16"/>
      <c r="D20" s="16"/>
      <c r="E20" s="16"/>
      <c r="F20" s="23" t="str">
        <f aca="false">IF(A20="","",D20-E20)</f>
        <v/>
      </c>
      <c r="G20" s="23" t="str">
        <f aca="false">IF(A20="","",MAX(0,C20-D20))</f>
        <v/>
      </c>
    </row>
    <row r="21" customFormat="false" ht="15" hidden="false" customHeight="false" outlineLevel="0" collapsed="false">
      <c r="A21" s="16"/>
      <c r="B21" s="16"/>
      <c r="C21" s="16"/>
      <c r="D21" s="16"/>
      <c r="E21" s="16"/>
      <c r="F21" s="23" t="str">
        <f aca="false">IF(A21="","",D21-E21)</f>
        <v/>
      </c>
      <c r="G21" s="23" t="str">
        <f aca="false">IF(A21="","",MAX(0,C21-D21))</f>
        <v/>
      </c>
    </row>
    <row r="22" customFormat="false" ht="15" hidden="false" customHeight="false" outlineLevel="0" collapsed="false">
      <c r="A22" s="16"/>
      <c r="B22" s="16"/>
      <c r="C22" s="16"/>
      <c r="D22" s="16"/>
      <c r="E22" s="16"/>
      <c r="F22" s="23" t="str">
        <f aca="false">IF(A22="","",D22-E22)</f>
        <v/>
      </c>
      <c r="G22" s="23" t="str">
        <f aca="false">IF(A22="","",MAX(0,C22-D22))</f>
        <v/>
      </c>
    </row>
    <row r="23" customFormat="false" ht="15" hidden="false" customHeight="false" outlineLevel="0" collapsed="false">
      <c r="A23" s="16"/>
      <c r="B23" s="16"/>
      <c r="C23" s="16"/>
      <c r="D23" s="16"/>
      <c r="E23" s="16"/>
      <c r="F23" s="23" t="str">
        <f aca="false">IF(A23="","",D23-E23)</f>
        <v/>
      </c>
      <c r="G23" s="23" t="str">
        <f aca="false">IF(A23="","",MAX(0,C23-D23))</f>
        <v/>
      </c>
    </row>
    <row r="24" customFormat="false" ht="15" hidden="false" customHeight="false" outlineLevel="0" collapsed="false">
      <c r="A24" s="16"/>
      <c r="B24" s="16"/>
      <c r="C24" s="16"/>
      <c r="D24" s="16"/>
      <c r="E24" s="16"/>
      <c r="F24" s="23" t="str">
        <f aca="false">IF(A24="","",D24-E24)</f>
        <v/>
      </c>
      <c r="G24" s="23" t="str">
        <f aca="false">IF(A24="","",MAX(0,C24-D24))</f>
        <v/>
      </c>
    </row>
    <row r="25" customFormat="false" ht="15" hidden="false" customHeight="false" outlineLevel="0" collapsed="false">
      <c r="A25" s="16"/>
      <c r="B25" s="16"/>
      <c r="C25" s="16"/>
      <c r="D25" s="16"/>
      <c r="E25" s="16"/>
      <c r="F25" s="23" t="str">
        <f aca="false">IF(A25="","",D25-E25)</f>
        <v/>
      </c>
      <c r="G25" s="23" t="str">
        <f aca="false">IF(A25="","",MAX(0,C25-D25))</f>
        <v/>
      </c>
    </row>
    <row r="26" customFormat="false" ht="15" hidden="false" customHeight="false" outlineLevel="0" collapsed="false">
      <c r="A26" s="16"/>
      <c r="B26" s="16"/>
      <c r="C26" s="16"/>
      <c r="D26" s="16"/>
      <c r="E26" s="16"/>
      <c r="F26" s="23" t="str">
        <f aca="false">IF(A26="","",D26-E26)</f>
        <v/>
      </c>
      <c r="G26" s="23" t="str">
        <f aca="false">IF(A26="","",MAX(0,C26-D26))</f>
        <v/>
      </c>
    </row>
    <row r="27" customFormat="false" ht="15" hidden="false" customHeight="false" outlineLevel="0" collapsed="false">
      <c r="A27" s="16"/>
      <c r="B27" s="16"/>
      <c r="C27" s="16"/>
      <c r="D27" s="16"/>
      <c r="E27" s="16"/>
      <c r="F27" s="23" t="str">
        <f aca="false">IF(A27="","",D27-E27)</f>
        <v/>
      </c>
      <c r="G27" s="23" t="str">
        <f aca="false">IF(A27="","",MAX(0,C27-D27))</f>
        <v/>
      </c>
    </row>
    <row r="28" customFormat="false" ht="15" hidden="false" customHeight="false" outlineLevel="0" collapsed="false">
      <c r="A28" s="16"/>
      <c r="B28" s="16"/>
      <c r="C28" s="16"/>
      <c r="D28" s="16"/>
      <c r="E28" s="16"/>
      <c r="F28" s="23" t="str">
        <f aca="false">IF(A28="","",D28-E28)</f>
        <v/>
      </c>
      <c r="G28" s="23" t="str">
        <f aca="false">IF(A28="","",MAX(0,C28-D28))</f>
        <v/>
      </c>
    </row>
    <row r="29" customFormat="false" ht="15" hidden="false" customHeight="false" outlineLevel="0" collapsed="false">
      <c r="A29" s="16"/>
      <c r="B29" s="16"/>
      <c r="C29" s="16"/>
      <c r="D29" s="16"/>
      <c r="E29" s="16"/>
      <c r="F29" s="23" t="str">
        <f aca="false">IF(A29="","",D29-E29)</f>
        <v/>
      </c>
      <c r="G29" s="23" t="str">
        <f aca="false">IF(A29="","",MAX(0,C29-D29))</f>
        <v/>
      </c>
    </row>
    <row r="30" customFormat="false" ht="15" hidden="false" customHeight="false" outlineLevel="0" collapsed="false">
      <c r="A30" s="16"/>
      <c r="B30" s="16"/>
      <c r="C30" s="16"/>
      <c r="D30" s="16"/>
      <c r="E30" s="16"/>
      <c r="F30" s="23" t="str">
        <f aca="false">IF(A30="","",D30-E30)</f>
        <v/>
      </c>
      <c r="G30" s="23" t="str">
        <f aca="false">IF(A30="","",MAX(0,C30-D30))</f>
        <v/>
      </c>
    </row>
    <row r="31" customFormat="false" ht="15" hidden="false" customHeight="false" outlineLevel="0" collapsed="false">
      <c r="A31" s="16"/>
      <c r="B31" s="16"/>
      <c r="C31" s="16"/>
      <c r="D31" s="16"/>
      <c r="E31" s="16"/>
      <c r="F31" s="23" t="str">
        <f aca="false">IF(A31="","",D31-E31)</f>
        <v/>
      </c>
      <c r="G31" s="23" t="str">
        <f aca="false">IF(A31="","",MAX(0,C31-D31))</f>
        <v/>
      </c>
    </row>
    <row r="32" customFormat="false" ht="15" hidden="false" customHeight="false" outlineLevel="0" collapsed="false">
      <c r="A32" s="16"/>
      <c r="B32" s="16"/>
      <c r="C32" s="16"/>
      <c r="D32" s="16"/>
      <c r="E32" s="16"/>
      <c r="F32" s="23" t="str">
        <f aca="false">IF(A32="","",D32-E32)</f>
        <v/>
      </c>
      <c r="G32" s="23" t="str">
        <f aca="false">IF(A32="","",MAX(0,C32-D32))</f>
        <v/>
      </c>
    </row>
    <row r="33" customFormat="false" ht="15" hidden="false" customHeight="false" outlineLevel="0" collapsed="false">
      <c r="A33" s="16"/>
      <c r="B33" s="16"/>
      <c r="C33" s="16"/>
      <c r="D33" s="16"/>
      <c r="E33" s="16"/>
      <c r="F33" s="23" t="str">
        <f aca="false">IF(A33="","",D33-E33)</f>
        <v/>
      </c>
      <c r="G33" s="23" t="str">
        <f aca="false">IF(A33="","",MAX(0,C33-D33))</f>
        <v/>
      </c>
    </row>
    <row r="34" customFormat="false" ht="15" hidden="false" customHeight="false" outlineLevel="0" collapsed="false">
      <c r="A34" s="16"/>
      <c r="B34" s="16"/>
      <c r="C34" s="16"/>
      <c r="D34" s="16"/>
      <c r="E34" s="16"/>
      <c r="F34" s="23" t="str">
        <f aca="false">IF(A34="","",D34-E34)</f>
        <v/>
      </c>
      <c r="G34" s="23" t="str">
        <f aca="false">IF(A34="","",MAX(0,C34-D34))</f>
        <v/>
      </c>
    </row>
    <row r="35" customFormat="false" ht="15" hidden="false" customHeight="false" outlineLevel="0" collapsed="false">
      <c r="A35" s="16"/>
      <c r="B35" s="16"/>
      <c r="C35" s="16"/>
      <c r="D35" s="16"/>
      <c r="E35" s="16"/>
      <c r="F35" s="23" t="str">
        <f aca="false">IF(A35="","",D35-E35)</f>
        <v/>
      </c>
      <c r="G35" s="23" t="str">
        <f aca="false">IF(A35="","",MAX(0,C35-D35))</f>
        <v/>
      </c>
    </row>
    <row r="36" customFormat="false" ht="15" hidden="false" customHeight="false" outlineLevel="0" collapsed="false">
      <c r="A36" s="16"/>
      <c r="B36" s="16"/>
      <c r="C36" s="16"/>
      <c r="D36" s="16"/>
      <c r="E36" s="16"/>
      <c r="F36" s="23" t="str">
        <f aca="false">IF(A36="","",D36-E36)</f>
        <v/>
      </c>
      <c r="G36" s="23" t="str">
        <f aca="false">IF(A36="","",MAX(0,C36-D36))</f>
        <v/>
      </c>
    </row>
    <row r="37" customFormat="false" ht="15" hidden="false" customHeight="false" outlineLevel="0" collapsed="false">
      <c r="A37" s="16"/>
      <c r="B37" s="16"/>
      <c r="C37" s="16"/>
      <c r="D37" s="16"/>
      <c r="E37" s="16"/>
      <c r="F37" s="23" t="str">
        <f aca="false">IF(A37="","",D37-E37)</f>
        <v/>
      </c>
      <c r="G37" s="23" t="str">
        <f aca="false">IF(A37="","",MAX(0,C37-D37))</f>
        <v/>
      </c>
    </row>
    <row r="38" customFormat="false" ht="15" hidden="false" customHeight="false" outlineLevel="0" collapsed="false">
      <c r="A38" s="16"/>
      <c r="B38" s="16"/>
      <c r="C38" s="16"/>
      <c r="D38" s="16"/>
      <c r="E38" s="16"/>
      <c r="F38" s="23" t="str">
        <f aca="false">IF(A38="","",D38-E38)</f>
        <v/>
      </c>
      <c r="G38" s="23" t="str">
        <f aca="false">IF(A38="","",MAX(0,C38-D38))</f>
        <v/>
      </c>
    </row>
    <row r="39" customFormat="false" ht="15" hidden="false" customHeight="false" outlineLevel="0" collapsed="false">
      <c r="A39" s="16"/>
      <c r="B39" s="16"/>
      <c r="C39" s="16"/>
      <c r="D39" s="16"/>
      <c r="E39" s="16"/>
      <c r="F39" s="23" t="str">
        <f aca="false">IF(A39="","",D39-E39)</f>
        <v/>
      </c>
      <c r="G39" s="23" t="str">
        <f aca="false">IF(A39="","",MAX(0,C39-D39))</f>
        <v/>
      </c>
    </row>
    <row r="40" customFormat="false" ht="15" hidden="false" customHeight="false" outlineLevel="0" collapsed="false">
      <c r="A40" s="16"/>
      <c r="B40" s="16"/>
      <c r="C40" s="16"/>
      <c r="D40" s="16"/>
      <c r="E40" s="16"/>
      <c r="F40" s="23" t="str">
        <f aca="false">IF(A40="","",D40-E40)</f>
        <v/>
      </c>
      <c r="G40" s="23" t="str">
        <f aca="false">IF(A40="","",MAX(0,C40-D40))</f>
        <v/>
      </c>
    </row>
    <row r="41" customFormat="false" ht="15" hidden="false" customHeight="false" outlineLevel="0" collapsed="false">
      <c r="A41" s="16"/>
      <c r="B41" s="16"/>
      <c r="C41" s="16"/>
      <c r="D41" s="16"/>
      <c r="E41" s="16"/>
      <c r="F41" s="23" t="str">
        <f aca="false">IF(A41="","",D41-E41)</f>
        <v/>
      </c>
      <c r="G41" s="23" t="str">
        <f aca="false">IF(A41="","",MAX(0,C41-D41))</f>
        <v/>
      </c>
    </row>
    <row r="42" customFormat="false" ht="15" hidden="false" customHeight="false" outlineLevel="0" collapsed="false">
      <c r="A42" s="16"/>
      <c r="B42" s="16"/>
      <c r="C42" s="16"/>
      <c r="D42" s="16"/>
      <c r="E42" s="16"/>
      <c r="F42" s="23" t="str">
        <f aca="false">IF(A42="","",D42-E42)</f>
        <v/>
      </c>
      <c r="G42" s="23" t="str">
        <f aca="false">IF(A42="","",MAX(0,C42-D42))</f>
        <v/>
      </c>
    </row>
    <row r="43" customFormat="false" ht="15" hidden="false" customHeight="false" outlineLevel="0" collapsed="false">
      <c r="A43" s="16"/>
      <c r="B43" s="16"/>
      <c r="C43" s="16"/>
      <c r="D43" s="16"/>
      <c r="E43" s="16"/>
      <c r="F43" s="23" t="str">
        <f aca="false">IF(A43="","",D43-E43)</f>
        <v/>
      </c>
      <c r="G43" s="23" t="str">
        <f aca="false">IF(A43="","",MAX(0,C43-D43))</f>
        <v/>
      </c>
    </row>
    <row r="44" customFormat="false" ht="15" hidden="false" customHeight="false" outlineLevel="0" collapsed="false">
      <c r="A44" s="16"/>
      <c r="B44" s="16"/>
      <c r="C44" s="16"/>
      <c r="D44" s="16"/>
      <c r="E44" s="16"/>
      <c r="F44" s="23" t="str">
        <f aca="false">IF(A44="","",D44-E44)</f>
        <v/>
      </c>
      <c r="G44" s="23" t="str">
        <f aca="false">IF(A44="","",MAX(0,C44-D44))</f>
        <v/>
      </c>
    </row>
    <row r="45" customFormat="false" ht="15" hidden="false" customHeight="false" outlineLevel="0" collapsed="false">
      <c r="A45" s="16"/>
      <c r="B45" s="16"/>
      <c r="C45" s="16"/>
      <c r="D45" s="16"/>
      <c r="E45" s="16"/>
      <c r="F45" s="23" t="str">
        <f aca="false">IF(A45="","",D45-E45)</f>
        <v/>
      </c>
      <c r="G45" s="23" t="str">
        <f aca="false">IF(A45="","",MAX(0,C45-D45))</f>
        <v/>
      </c>
    </row>
    <row r="46" customFormat="false" ht="15" hidden="false" customHeight="false" outlineLevel="0" collapsed="false">
      <c r="A46" s="16"/>
      <c r="B46" s="16"/>
      <c r="C46" s="16"/>
      <c r="D46" s="16"/>
      <c r="E46" s="16"/>
      <c r="F46" s="23" t="str">
        <f aca="false">IF(A46="","",D46-E46)</f>
        <v/>
      </c>
      <c r="G46" s="23" t="str">
        <f aca="false">IF(A46="","",MAX(0,C46-D46))</f>
        <v/>
      </c>
    </row>
    <row r="47" customFormat="false" ht="15" hidden="false" customHeight="false" outlineLevel="0" collapsed="false">
      <c r="A47" s="16"/>
      <c r="B47" s="16"/>
      <c r="C47" s="16"/>
      <c r="D47" s="16"/>
      <c r="E47" s="16"/>
      <c r="F47" s="23" t="str">
        <f aca="false">IF(A47="","",D47-E47)</f>
        <v/>
      </c>
      <c r="G47" s="23" t="str">
        <f aca="false">IF(A47="","",MAX(0,C47-D47))</f>
        <v/>
      </c>
    </row>
    <row r="48" customFormat="false" ht="15" hidden="false" customHeight="false" outlineLevel="0" collapsed="false">
      <c r="A48" s="16"/>
      <c r="B48" s="16"/>
      <c r="C48" s="16"/>
      <c r="D48" s="16"/>
      <c r="E48" s="16"/>
      <c r="F48" s="23" t="str">
        <f aca="false">IF(A48="","",D48-E48)</f>
        <v/>
      </c>
      <c r="G48" s="23" t="str">
        <f aca="false">IF(A48="","",MAX(0,C48-D48))</f>
        <v/>
      </c>
    </row>
    <row r="49" customFormat="false" ht="15" hidden="false" customHeight="false" outlineLevel="0" collapsed="false">
      <c r="A49" s="16"/>
      <c r="B49" s="16"/>
      <c r="C49" s="16"/>
      <c r="D49" s="16"/>
      <c r="E49" s="16"/>
      <c r="F49" s="23" t="str">
        <f aca="false">IF(A49="","",D49-E49)</f>
        <v/>
      </c>
      <c r="G49" s="23" t="str">
        <f aca="false">IF(A49="","",MAX(0,C49-D49))</f>
        <v/>
      </c>
    </row>
    <row r="50" customFormat="false" ht="15" hidden="false" customHeight="false" outlineLevel="0" collapsed="false">
      <c r="A50" s="16"/>
      <c r="B50" s="16"/>
      <c r="C50" s="16"/>
      <c r="D50" s="16"/>
      <c r="E50" s="16"/>
      <c r="F50" s="23" t="str">
        <f aca="false">IF(A50="","",D50-E50)</f>
        <v/>
      </c>
      <c r="G50" s="23" t="str">
        <f aca="false">IF(A50="","",MAX(0,C50-D50))</f>
        <v/>
      </c>
    </row>
    <row r="51" customFormat="false" ht="15" hidden="false" customHeight="false" outlineLevel="0" collapsed="false">
      <c r="A51" s="16"/>
      <c r="B51" s="16"/>
      <c r="C51" s="16"/>
      <c r="D51" s="16"/>
      <c r="E51" s="16"/>
      <c r="F51" s="23" t="str">
        <f aca="false">IF(A51="","",D51-E51)</f>
        <v/>
      </c>
      <c r="G51" s="23" t="str">
        <f aca="false">IF(A51="","",MAX(0,C51-D51))</f>
        <v/>
      </c>
    </row>
    <row r="52" customFormat="false" ht="15" hidden="false" customHeight="false" outlineLevel="0" collapsed="false">
      <c r="A52" s="16"/>
      <c r="B52" s="16"/>
      <c r="C52" s="16"/>
      <c r="D52" s="16"/>
      <c r="E52" s="16"/>
      <c r="F52" s="23" t="str">
        <f aca="false">IF(A52="","",D52-E52)</f>
        <v/>
      </c>
      <c r="G52" s="23" t="str">
        <f aca="false">IF(A52="","",MAX(0,C52-D52))</f>
        <v/>
      </c>
    </row>
    <row r="53" customFormat="false" ht="15" hidden="false" customHeight="false" outlineLevel="0" collapsed="false">
      <c r="A53" s="16"/>
      <c r="B53" s="16"/>
      <c r="C53" s="16"/>
      <c r="D53" s="16"/>
      <c r="E53" s="16"/>
      <c r="F53" s="23" t="str">
        <f aca="false">IF(A53="","",D53-E53)</f>
        <v/>
      </c>
      <c r="G53" s="23" t="str">
        <f aca="false">IF(A53="","",MAX(0,C53-D53))</f>
        <v/>
      </c>
    </row>
    <row r="54" customFormat="false" ht="15" hidden="false" customHeight="false" outlineLevel="0" collapsed="false">
      <c r="A54" s="16"/>
      <c r="B54" s="16"/>
      <c r="C54" s="16"/>
      <c r="D54" s="16"/>
      <c r="E54" s="16"/>
      <c r="F54" s="23" t="str">
        <f aca="false">IF(A54="","",D54-E54)</f>
        <v/>
      </c>
      <c r="G54" s="23" t="str">
        <f aca="false">IF(A54="","",MAX(0,C54-D54))</f>
        <v/>
      </c>
    </row>
    <row r="55" customFormat="false" ht="15" hidden="false" customHeight="false" outlineLevel="0" collapsed="false">
      <c r="A55" s="16"/>
      <c r="B55" s="16"/>
      <c r="C55" s="16"/>
      <c r="D55" s="16"/>
      <c r="E55" s="16"/>
      <c r="F55" s="23" t="str">
        <f aca="false">IF(A55="","",D55-E55)</f>
        <v/>
      </c>
      <c r="G55" s="23" t="str">
        <f aca="false">IF(A55="","",MAX(0,C55-D55))</f>
        <v/>
      </c>
    </row>
    <row r="56" customFormat="false" ht="15" hidden="false" customHeight="false" outlineLevel="0" collapsed="false">
      <c r="A56" s="16"/>
      <c r="B56" s="16"/>
      <c r="C56" s="16"/>
      <c r="D56" s="16"/>
      <c r="E56" s="16"/>
      <c r="F56" s="23" t="str">
        <f aca="false">IF(A56="","",D56-E56)</f>
        <v/>
      </c>
      <c r="G56" s="23" t="str">
        <f aca="false">IF(A56="","",MAX(0,C56-D56))</f>
        <v/>
      </c>
    </row>
    <row r="57" customFormat="false" ht="15" hidden="false" customHeight="false" outlineLevel="0" collapsed="false">
      <c r="A57" s="16"/>
      <c r="B57" s="16"/>
      <c r="C57" s="16"/>
      <c r="D57" s="16"/>
      <c r="E57" s="16"/>
      <c r="F57" s="23" t="str">
        <f aca="false">IF(A57="","",D57-E57)</f>
        <v/>
      </c>
      <c r="G57" s="23" t="str">
        <f aca="false">IF(A57="","",MAX(0,C57-D57))</f>
        <v/>
      </c>
    </row>
    <row r="58" customFormat="false" ht="15" hidden="false" customHeight="false" outlineLevel="0" collapsed="false">
      <c r="A58" s="16"/>
      <c r="B58" s="16"/>
      <c r="C58" s="16"/>
      <c r="D58" s="16"/>
      <c r="E58" s="16"/>
      <c r="F58" s="23" t="str">
        <f aca="false">IF(A58="","",D58-E58)</f>
        <v/>
      </c>
      <c r="G58" s="23" t="str">
        <f aca="false">IF(A58="","",MAX(0,C58-D58))</f>
        <v/>
      </c>
    </row>
    <row r="59" customFormat="false" ht="15" hidden="false" customHeight="false" outlineLevel="0" collapsed="false">
      <c r="A59" s="16"/>
      <c r="B59" s="16"/>
      <c r="C59" s="16"/>
      <c r="D59" s="16"/>
      <c r="E59" s="16"/>
      <c r="F59" s="23" t="str">
        <f aca="false">IF(A59="","",D59-E59)</f>
        <v/>
      </c>
      <c r="G59" s="23" t="str">
        <f aca="false">IF(A59="","",MAX(0,C59-D59))</f>
        <v/>
      </c>
    </row>
    <row r="60" customFormat="false" ht="15" hidden="false" customHeight="false" outlineLevel="0" collapsed="false">
      <c r="A60" s="16"/>
      <c r="B60" s="16"/>
      <c r="C60" s="16"/>
      <c r="D60" s="16"/>
      <c r="E60" s="16"/>
      <c r="F60" s="23" t="str">
        <f aca="false">IF(A60="","",D60-E60)</f>
        <v/>
      </c>
      <c r="G60" s="23" t="str">
        <f aca="false">IF(A60="","",MAX(0,C60-D60))</f>
        <v/>
      </c>
    </row>
    <row r="61" customFormat="false" ht="15" hidden="false" customHeight="false" outlineLevel="0" collapsed="false">
      <c r="A61" s="16"/>
      <c r="B61" s="16"/>
      <c r="C61" s="16"/>
      <c r="D61" s="16"/>
      <c r="E61" s="16"/>
      <c r="F61" s="23" t="str">
        <f aca="false">IF(A61="","",D61-E61)</f>
        <v/>
      </c>
      <c r="G61" s="23" t="str">
        <f aca="false">IF(A61="","",MAX(0,C61-D61))</f>
        <v/>
      </c>
    </row>
    <row r="62" customFormat="false" ht="15" hidden="false" customHeight="false" outlineLevel="0" collapsed="false">
      <c r="A62" s="16"/>
      <c r="B62" s="16"/>
      <c r="C62" s="16"/>
      <c r="D62" s="16"/>
      <c r="E62" s="16"/>
      <c r="F62" s="23" t="str">
        <f aca="false">IF(A62="","",D62-E62)</f>
        <v/>
      </c>
      <c r="G62" s="23" t="str">
        <f aca="false">IF(A62="","",MAX(0,C62-D62))</f>
        <v/>
      </c>
    </row>
    <row r="63" customFormat="false" ht="15" hidden="false" customHeight="false" outlineLevel="0" collapsed="false">
      <c r="A63" s="16"/>
      <c r="B63" s="16"/>
      <c r="C63" s="16"/>
      <c r="D63" s="16"/>
      <c r="E63" s="16"/>
      <c r="F63" s="23" t="str">
        <f aca="false">IF(A63="","",D63-E63)</f>
        <v/>
      </c>
      <c r="G63" s="23" t="str">
        <f aca="false">IF(A63="","",MAX(0,C63-D63))</f>
        <v/>
      </c>
    </row>
    <row r="64" customFormat="false" ht="15" hidden="false" customHeight="false" outlineLevel="0" collapsed="false">
      <c r="A64" s="16"/>
      <c r="B64" s="16"/>
      <c r="C64" s="16"/>
      <c r="D64" s="16"/>
      <c r="E64" s="16"/>
      <c r="F64" s="23" t="str">
        <f aca="false">IF(A64="","",D64-E64)</f>
        <v/>
      </c>
      <c r="G64" s="23" t="str">
        <f aca="false">IF(A64="","",MAX(0,C64-D64))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2026-10-29T15:51:46Z</dcterms:created>
  <dc:creator>openpyxl</dc:creator>
  <dc:description/>
  <dc:language>en-US</dc:language>
  <cp:lastModifiedBy/>
  <dcterms:modified xsi:type="dcterms:W3CDTF">2026-10-29T15:51:47Z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